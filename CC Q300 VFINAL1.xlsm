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ebus\OneDrive\Escritorio\Analisis de aceites\OBJETIVOS 2025\"/>
    </mc:Choice>
  </mc:AlternateContent>
  <xr:revisionPtr revIDLastSave="0" documentId="13_ncr:1_{A43C24E8-D8F7-46B5-BAD0-293F888778E7}" xr6:coauthVersionLast="47" xr6:coauthVersionMax="47" xr10:uidLastSave="{00000000-0000-0000-0000-000000000000}"/>
  <bookViews>
    <workbookView xWindow="-108" yWindow="-108" windowWidth="23256" windowHeight="12456" activeTab="2" xr2:uid="{6696C6DA-A062-46AB-85E6-708D67E182D7}"/>
  </bookViews>
  <sheets>
    <sheet name="Instrucciones" sheetId="4" r:id="rId1"/>
    <sheet name="Ingreso" sheetId="5" r:id="rId2"/>
    <sheet name="Datos" sheetId="1" r:id="rId3"/>
    <sheet name="Resumen" sheetId="3" r:id="rId4"/>
    <sheet name="Hallazgos" sheetId="8" r:id="rId5"/>
    <sheet name="Carta 0" sheetId="2" r:id="rId6"/>
  </sheets>
  <definedNames>
    <definedName name="_xleta.MIN" hidden="1" xlm="1">#NAME?</definedName>
    <definedName name="_xleta.STDE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8" i="3" l="1"/>
  <c r="L59" i="3"/>
  <c r="L57" i="3"/>
  <c r="N58" i="3"/>
  <c r="N59" i="3"/>
  <c r="N57" i="3"/>
  <c r="M58" i="3"/>
  <c r="M59" i="3"/>
  <c r="M57" i="3"/>
  <c r="K59" i="3"/>
  <c r="K57" i="3"/>
  <c r="K58" i="3"/>
  <c r="BK8" i="2"/>
  <c r="BC7" i="2"/>
  <c r="BB7" i="2"/>
  <c r="AT8" i="2"/>
  <c r="AL7" i="2"/>
  <c r="AK7" i="2"/>
  <c r="U7" i="2"/>
  <c r="T7" i="2"/>
  <c r="AE8" i="2"/>
  <c r="AC8" i="2"/>
  <c r="M212" i="2"/>
  <c r="AS135" i="2" l="1"/>
  <c r="AS136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03" i="2"/>
  <c r="AS104" i="2"/>
  <c r="AS105" i="2"/>
  <c r="AS106" i="2"/>
  <c r="AS107" i="2"/>
  <c r="BJ10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BS57" i="2" l="1"/>
  <c r="BT57" i="2"/>
  <c r="BU57" i="2"/>
  <c r="BS58" i="2"/>
  <c r="BT58" i="2"/>
  <c r="BU58" i="2"/>
  <c r="BS59" i="2"/>
  <c r="BT59" i="2"/>
  <c r="BU59" i="2"/>
  <c r="BS60" i="2"/>
  <c r="BT60" i="2"/>
  <c r="BU60" i="2"/>
  <c r="BS61" i="2"/>
  <c r="BT61" i="2"/>
  <c r="BU61" i="2"/>
  <c r="BS62" i="2"/>
  <c r="BT62" i="2"/>
  <c r="BU62" i="2"/>
  <c r="BS63" i="2"/>
  <c r="BT63" i="2"/>
  <c r="BU63" i="2"/>
  <c r="BS64" i="2"/>
  <c r="BT64" i="2"/>
  <c r="BU64" i="2"/>
  <c r="BS65" i="2"/>
  <c r="BT65" i="2"/>
  <c r="BU65" i="2"/>
  <c r="BS66" i="2"/>
  <c r="BT66" i="2"/>
  <c r="BU66" i="2"/>
  <c r="BS67" i="2"/>
  <c r="BT67" i="2"/>
  <c r="BU67" i="2"/>
  <c r="BS68" i="2"/>
  <c r="BT68" i="2"/>
  <c r="BU68" i="2"/>
  <c r="BS69" i="2"/>
  <c r="BT69" i="2"/>
  <c r="BU69" i="2"/>
  <c r="BS70" i="2"/>
  <c r="BT70" i="2"/>
  <c r="BU70" i="2"/>
  <c r="BS71" i="2"/>
  <c r="BT71" i="2"/>
  <c r="BU71" i="2"/>
  <c r="BS72" i="2"/>
  <c r="BT72" i="2"/>
  <c r="BU72" i="2"/>
  <c r="BS73" i="2"/>
  <c r="BT73" i="2"/>
  <c r="BU73" i="2"/>
  <c r="BS74" i="2"/>
  <c r="BT74" i="2"/>
  <c r="BU74" i="2"/>
  <c r="BS75" i="2"/>
  <c r="BT75" i="2"/>
  <c r="BU75" i="2"/>
  <c r="BS76" i="2"/>
  <c r="BT76" i="2"/>
  <c r="BU76" i="2"/>
  <c r="BS77" i="2"/>
  <c r="BT77" i="2"/>
  <c r="BU77" i="2"/>
  <c r="BS78" i="2"/>
  <c r="BT78" i="2"/>
  <c r="BU78" i="2"/>
  <c r="BS79" i="2"/>
  <c r="BT79" i="2"/>
  <c r="BU79" i="2"/>
  <c r="BS80" i="2"/>
  <c r="BT80" i="2"/>
  <c r="BU80" i="2"/>
  <c r="BS81" i="2"/>
  <c r="BT81" i="2"/>
  <c r="BU81" i="2"/>
  <c r="BS82" i="2"/>
  <c r="BT82" i="2"/>
  <c r="BU82" i="2"/>
  <c r="BS83" i="2"/>
  <c r="BT83" i="2"/>
  <c r="BU83" i="2"/>
  <c r="BS84" i="2"/>
  <c r="BT84" i="2"/>
  <c r="BU84" i="2"/>
  <c r="BS85" i="2"/>
  <c r="BT85" i="2"/>
  <c r="BU85" i="2"/>
  <c r="BS86" i="2"/>
  <c r="BT86" i="2"/>
  <c r="BU86" i="2"/>
  <c r="BS87" i="2"/>
  <c r="BT87" i="2"/>
  <c r="BU87" i="2"/>
  <c r="BS88" i="2"/>
  <c r="BT88" i="2"/>
  <c r="BU88" i="2"/>
  <c r="BS89" i="2"/>
  <c r="BT89" i="2"/>
  <c r="BU89" i="2"/>
  <c r="BS90" i="2"/>
  <c r="BT90" i="2"/>
  <c r="BU90" i="2"/>
  <c r="BS91" i="2"/>
  <c r="BT91" i="2"/>
  <c r="BU91" i="2"/>
  <c r="BS92" i="2"/>
  <c r="BT92" i="2"/>
  <c r="BU92" i="2"/>
  <c r="BS93" i="2"/>
  <c r="BT93" i="2"/>
  <c r="BU93" i="2"/>
  <c r="BS94" i="2"/>
  <c r="BT94" i="2"/>
  <c r="BU94" i="2"/>
  <c r="BS95" i="2"/>
  <c r="BT95" i="2"/>
  <c r="BU95" i="2"/>
  <c r="BS96" i="2"/>
  <c r="BT96" i="2"/>
  <c r="BU96" i="2"/>
  <c r="BS97" i="2"/>
  <c r="BT97" i="2"/>
  <c r="BU97" i="2"/>
  <c r="BS98" i="2"/>
  <c r="BT98" i="2"/>
  <c r="BU98" i="2"/>
  <c r="BS99" i="2"/>
  <c r="BT99" i="2"/>
  <c r="BU99" i="2"/>
  <c r="BS100" i="2"/>
  <c r="BT100" i="2"/>
  <c r="BU100" i="2"/>
  <c r="BS101" i="2"/>
  <c r="BT101" i="2"/>
  <c r="BU101" i="2"/>
  <c r="BS102" i="2"/>
  <c r="BT102" i="2"/>
  <c r="BU102" i="2"/>
  <c r="BS103" i="2"/>
  <c r="BT103" i="2"/>
  <c r="BU103" i="2"/>
  <c r="BS104" i="2"/>
  <c r="BT104" i="2"/>
  <c r="BU104" i="2"/>
  <c r="BS105" i="2"/>
  <c r="BT105" i="2"/>
  <c r="BU105" i="2"/>
  <c r="BS106" i="2"/>
  <c r="BT106" i="2"/>
  <c r="BU106" i="2"/>
  <c r="BS107" i="2"/>
  <c r="BT107" i="2"/>
  <c r="BU107" i="2"/>
  <c r="BS108" i="2"/>
  <c r="BT108" i="2"/>
  <c r="BU108" i="2"/>
  <c r="BS109" i="2"/>
  <c r="BT109" i="2"/>
  <c r="BU109" i="2"/>
  <c r="BS110" i="2"/>
  <c r="BT110" i="2"/>
  <c r="BU110" i="2"/>
  <c r="BS111" i="2"/>
  <c r="BT111" i="2"/>
  <c r="BU111" i="2"/>
  <c r="BS112" i="2"/>
  <c r="BT112" i="2"/>
  <c r="BU112" i="2"/>
  <c r="BS113" i="2"/>
  <c r="BT113" i="2"/>
  <c r="BU113" i="2"/>
  <c r="BS114" i="2"/>
  <c r="BT114" i="2"/>
  <c r="BU114" i="2"/>
  <c r="BS115" i="2"/>
  <c r="BT115" i="2"/>
  <c r="BU115" i="2"/>
  <c r="BS116" i="2"/>
  <c r="BT116" i="2"/>
  <c r="BU116" i="2"/>
  <c r="BS117" i="2"/>
  <c r="BT117" i="2"/>
  <c r="BU117" i="2"/>
  <c r="BS118" i="2"/>
  <c r="BT118" i="2"/>
  <c r="BU118" i="2"/>
  <c r="BS119" i="2"/>
  <c r="BT119" i="2"/>
  <c r="BU119" i="2"/>
  <c r="BS120" i="2"/>
  <c r="BT120" i="2"/>
  <c r="BU120" i="2"/>
  <c r="BS121" i="2"/>
  <c r="BT121" i="2"/>
  <c r="BU121" i="2"/>
  <c r="BS122" i="2"/>
  <c r="BT122" i="2"/>
  <c r="BU122" i="2"/>
  <c r="BS123" i="2"/>
  <c r="BT123" i="2"/>
  <c r="BU123" i="2"/>
  <c r="BS124" i="2"/>
  <c r="BT124" i="2"/>
  <c r="BU124" i="2"/>
  <c r="BS125" i="2"/>
  <c r="BT125" i="2"/>
  <c r="BU125" i="2"/>
  <c r="BS126" i="2"/>
  <c r="BT126" i="2"/>
  <c r="BU126" i="2"/>
  <c r="BS127" i="2"/>
  <c r="BT127" i="2"/>
  <c r="BU127" i="2"/>
  <c r="BS128" i="2"/>
  <c r="BT128" i="2"/>
  <c r="BU128" i="2"/>
  <c r="BS129" i="2"/>
  <c r="BT129" i="2"/>
  <c r="BU129" i="2"/>
  <c r="BS130" i="2"/>
  <c r="BT130" i="2"/>
  <c r="BU130" i="2"/>
  <c r="BS131" i="2"/>
  <c r="BT131" i="2"/>
  <c r="BU131" i="2"/>
  <c r="BS132" i="2"/>
  <c r="BT132" i="2"/>
  <c r="BU132" i="2"/>
  <c r="BS133" i="2"/>
  <c r="BT133" i="2"/>
  <c r="BU133" i="2"/>
  <c r="BS134" i="2"/>
  <c r="BT134" i="2"/>
  <c r="BU134" i="2"/>
  <c r="BS135" i="2"/>
  <c r="BT135" i="2"/>
  <c r="BU135" i="2"/>
  <c r="BS136" i="2"/>
  <c r="BT136" i="2"/>
  <c r="BU136" i="2"/>
  <c r="BS137" i="2"/>
  <c r="BT137" i="2"/>
  <c r="BU137" i="2"/>
  <c r="BS138" i="2"/>
  <c r="BT138" i="2"/>
  <c r="BU138" i="2"/>
  <c r="BS139" i="2"/>
  <c r="BT139" i="2"/>
  <c r="BU139" i="2"/>
  <c r="BS140" i="2"/>
  <c r="BT140" i="2"/>
  <c r="BU140" i="2"/>
  <c r="BS141" i="2"/>
  <c r="BT141" i="2"/>
  <c r="BU141" i="2"/>
  <c r="BS142" i="2"/>
  <c r="BT142" i="2"/>
  <c r="BU142" i="2"/>
  <c r="BS143" i="2"/>
  <c r="BT143" i="2"/>
  <c r="BU143" i="2"/>
  <c r="BS144" i="2"/>
  <c r="BT144" i="2"/>
  <c r="BU144" i="2"/>
  <c r="BS145" i="2"/>
  <c r="BT145" i="2"/>
  <c r="BU145" i="2"/>
  <c r="BS146" i="2"/>
  <c r="BT146" i="2"/>
  <c r="BU146" i="2"/>
  <c r="BS147" i="2"/>
  <c r="BT147" i="2"/>
  <c r="BU147" i="2"/>
  <c r="BS148" i="2"/>
  <c r="BT148" i="2"/>
  <c r="BU148" i="2"/>
  <c r="BS149" i="2"/>
  <c r="BT149" i="2"/>
  <c r="BU149" i="2"/>
  <c r="BS150" i="2"/>
  <c r="BT150" i="2"/>
  <c r="BU150" i="2"/>
  <c r="BS151" i="2"/>
  <c r="BT151" i="2"/>
  <c r="BU151" i="2"/>
  <c r="BS152" i="2"/>
  <c r="BT152" i="2"/>
  <c r="BU152" i="2"/>
  <c r="BS153" i="2"/>
  <c r="BT153" i="2"/>
  <c r="BU153" i="2"/>
  <c r="BS154" i="2"/>
  <c r="BT154" i="2"/>
  <c r="BU154" i="2"/>
  <c r="BS155" i="2"/>
  <c r="BT155" i="2"/>
  <c r="BU155" i="2"/>
  <c r="BS156" i="2"/>
  <c r="BT156" i="2"/>
  <c r="BU156" i="2"/>
  <c r="BS157" i="2"/>
  <c r="BT157" i="2"/>
  <c r="BU157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38" i="2"/>
  <c r="AB39" i="2"/>
  <c r="AB40" i="2"/>
  <c r="AB41" i="2"/>
  <c r="AB42" i="2"/>
  <c r="AB43" i="2"/>
  <c r="AB44" i="2"/>
  <c r="AB45" i="2"/>
  <c r="AB46" i="2"/>
  <c r="AB47" i="2"/>
  <c r="AB48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BJ43" i="2"/>
  <c r="BJ44" i="2"/>
  <c r="BJ45" i="2"/>
  <c r="BJ19" i="2"/>
  <c r="BJ20" i="2"/>
  <c r="BJ21" i="2"/>
  <c r="BJ22" i="2"/>
  <c r="BJ23" i="2"/>
  <c r="BJ24" i="2"/>
  <c r="BJ25" i="2"/>
  <c r="BJ26" i="2"/>
  <c r="BJ27" i="2"/>
  <c r="BJ28" i="2"/>
  <c r="BJ29" i="2"/>
  <c r="BJ30" i="2"/>
  <c r="BJ31" i="2"/>
  <c r="BJ32" i="2"/>
  <c r="BJ33" i="2"/>
  <c r="BJ34" i="2"/>
  <c r="BJ35" i="2"/>
  <c r="BJ36" i="2"/>
  <c r="BJ37" i="2"/>
  <c r="BJ38" i="2"/>
  <c r="BJ39" i="2"/>
  <c r="BJ40" i="2"/>
  <c r="BJ41" i="2"/>
  <c r="BJ42" i="2"/>
  <c r="AS27" i="2"/>
  <c r="AS28" i="2"/>
  <c r="AS29" i="2"/>
  <c r="AS30" i="2"/>
  <c r="AS31" i="2"/>
  <c r="BJ46" i="2"/>
  <c r="BJ47" i="2"/>
  <c r="BJ48" i="2"/>
  <c r="BJ49" i="2"/>
  <c r="BJ50" i="2"/>
  <c r="BJ51" i="2"/>
  <c r="BJ52" i="2"/>
  <c r="BJ53" i="2"/>
  <c r="BJ54" i="2"/>
  <c r="BJ55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BR68" i="2"/>
  <c r="BR69" i="2"/>
  <c r="BR70" i="2"/>
  <c r="BR71" i="2"/>
  <c r="BR72" i="2"/>
  <c r="BR73" i="2"/>
  <c r="BR74" i="2"/>
  <c r="BR75" i="2"/>
  <c r="BR76" i="2"/>
  <c r="BR77" i="2"/>
  <c r="BR78" i="2"/>
  <c r="BR79" i="2"/>
  <c r="BR80" i="2"/>
  <c r="BR81" i="2"/>
  <c r="BR82" i="2"/>
  <c r="BR83" i="2"/>
  <c r="BR84" i="2"/>
  <c r="BR85" i="2"/>
  <c r="BR86" i="2"/>
  <c r="BR87" i="2"/>
  <c r="BR88" i="2"/>
  <c r="BR89" i="2"/>
  <c r="BR90" i="2"/>
  <c r="BR91" i="2"/>
  <c r="BR92" i="2"/>
  <c r="BR93" i="2"/>
  <c r="BR94" i="2"/>
  <c r="BR95" i="2"/>
  <c r="BR96" i="2"/>
  <c r="BR97" i="2"/>
  <c r="BR98" i="2"/>
  <c r="BR99" i="2"/>
  <c r="BR100" i="2"/>
  <c r="BR101" i="2"/>
  <c r="BR102" i="2"/>
  <c r="BR103" i="2"/>
  <c r="BR104" i="2"/>
  <c r="BR105" i="2"/>
  <c r="BR106" i="2"/>
  <c r="BR107" i="2"/>
  <c r="BR108" i="2"/>
  <c r="BR109" i="2"/>
  <c r="BR110" i="2"/>
  <c r="BR111" i="2"/>
  <c r="BR112" i="2"/>
  <c r="BR113" i="2"/>
  <c r="BR114" i="2"/>
  <c r="BR115" i="2"/>
  <c r="BR116" i="2"/>
  <c r="BR117" i="2"/>
  <c r="BR118" i="2"/>
  <c r="BR119" i="2"/>
  <c r="BR120" i="2"/>
  <c r="BR121" i="2"/>
  <c r="BR122" i="2"/>
  <c r="BR123" i="2"/>
  <c r="BR124" i="2"/>
  <c r="BR125" i="2"/>
  <c r="BR126" i="2"/>
  <c r="BR127" i="2"/>
  <c r="BR128" i="2"/>
  <c r="BR129" i="2"/>
  <c r="BR130" i="2"/>
  <c r="BR131" i="2"/>
  <c r="BR132" i="2"/>
  <c r="BR133" i="2"/>
  <c r="BR134" i="2"/>
  <c r="BR135" i="2"/>
  <c r="BR136" i="2"/>
  <c r="BR137" i="2"/>
  <c r="BR138" i="2"/>
  <c r="BR139" i="2"/>
  <c r="BR140" i="2"/>
  <c r="BR141" i="2"/>
  <c r="BR142" i="2"/>
  <c r="BR143" i="2"/>
  <c r="BR144" i="2"/>
  <c r="BR145" i="2"/>
  <c r="BR146" i="2"/>
  <c r="BR147" i="2"/>
  <c r="BR148" i="2"/>
  <c r="BR149" i="2"/>
  <c r="BR150" i="2"/>
  <c r="BR151" i="2"/>
  <c r="BR152" i="2"/>
  <c r="BR153" i="2"/>
  <c r="BR154" i="2"/>
  <c r="BR155" i="2"/>
  <c r="BR156" i="2"/>
  <c r="BR157" i="2"/>
  <c r="BJ68" i="2"/>
  <c r="BJ69" i="2"/>
  <c r="BJ70" i="2"/>
  <c r="BJ71" i="2"/>
  <c r="BJ72" i="2"/>
  <c r="BJ73" i="2"/>
  <c r="BJ74" i="2"/>
  <c r="BJ75" i="2"/>
  <c r="BJ76" i="2"/>
  <c r="BJ77" i="2"/>
  <c r="BJ78" i="2"/>
  <c r="BJ79" i="2"/>
  <c r="BJ80" i="2"/>
  <c r="BJ81" i="2"/>
  <c r="BJ82" i="2"/>
  <c r="BJ83" i="2"/>
  <c r="BJ84" i="2"/>
  <c r="BJ85" i="2"/>
  <c r="BJ86" i="2"/>
  <c r="BJ87" i="2"/>
  <c r="BJ88" i="2"/>
  <c r="BJ89" i="2"/>
  <c r="BJ90" i="2"/>
  <c r="BJ91" i="2"/>
  <c r="BJ92" i="2"/>
  <c r="BJ93" i="2"/>
  <c r="BJ94" i="2"/>
  <c r="BJ95" i="2"/>
  <c r="BJ96" i="2"/>
  <c r="BJ97" i="2"/>
  <c r="BJ98" i="2"/>
  <c r="BJ99" i="2"/>
  <c r="BJ100" i="2"/>
  <c r="BJ101" i="2"/>
  <c r="BJ102" i="2"/>
  <c r="BJ103" i="2"/>
  <c r="BJ104" i="2"/>
  <c r="BJ105" i="2"/>
  <c r="BJ106" i="2"/>
  <c r="BJ107" i="2"/>
  <c r="BJ109" i="2"/>
  <c r="BJ110" i="2"/>
  <c r="BJ111" i="2"/>
  <c r="BJ112" i="2"/>
  <c r="BJ113" i="2"/>
  <c r="BJ114" i="2"/>
  <c r="BJ115" i="2"/>
  <c r="BJ116" i="2"/>
  <c r="BJ117" i="2"/>
  <c r="BJ118" i="2"/>
  <c r="BJ119" i="2"/>
  <c r="BJ120" i="2"/>
  <c r="BJ121" i="2"/>
  <c r="BJ122" i="2"/>
  <c r="BJ123" i="2"/>
  <c r="BJ124" i="2"/>
  <c r="BJ125" i="2"/>
  <c r="BJ126" i="2"/>
  <c r="BJ127" i="2"/>
  <c r="BJ128" i="2"/>
  <c r="BJ129" i="2"/>
  <c r="BJ130" i="2"/>
  <c r="BJ131" i="2"/>
  <c r="BJ132" i="2"/>
  <c r="BJ133" i="2"/>
  <c r="BJ134" i="2"/>
  <c r="BJ135" i="2"/>
  <c r="BJ136" i="2"/>
  <c r="BJ137" i="2"/>
  <c r="BJ56" i="2"/>
  <c r="BJ57" i="2"/>
  <c r="BJ58" i="2"/>
  <c r="BJ59" i="2"/>
  <c r="BJ60" i="2"/>
  <c r="BJ61" i="2"/>
  <c r="BJ62" i="2"/>
  <c r="BJ63" i="2"/>
  <c r="BJ64" i="2"/>
  <c r="BJ65" i="2"/>
  <c r="BJ66" i="2"/>
  <c r="BJ67" i="2"/>
  <c r="AS38" i="2"/>
  <c r="AS39" i="2"/>
  <c r="AS40" i="2"/>
  <c r="AS41" i="2"/>
  <c r="AS42" i="2"/>
  <c r="AS43" i="2"/>
  <c r="BR9" i="2" l="1"/>
  <c r="BR10" i="2"/>
  <c r="BR11" i="2"/>
  <c r="BR12" i="2"/>
  <c r="BR13" i="2"/>
  <c r="BR14" i="2"/>
  <c r="BR15" i="2"/>
  <c r="BR16" i="2"/>
  <c r="BR17" i="2"/>
  <c r="BR18" i="2"/>
  <c r="BR19" i="2"/>
  <c r="BR20" i="2"/>
  <c r="BR21" i="2"/>
  <c r="BR22" i="2"/>
  <c r="BR23" i="2"/>
  <c r="BR24" i="2"/>
  <c r="BR25" i="2"/>
  <c r="BR26" i="2"/>
  <c r="BR27" i="2"/>
  <c r="BR28" i="2"/>
  <c r="BR29" i="2"/>
  <c r="BR30" i="2"/>
  <c r="BR31" i="2"/>
  <c r="BR32" i="2"/>
  <c r="BR33" i="2"/>
  <c r="BR34" i="2"/>
  <c r="BR35" i="2"/>
  <c r="BR36" i="2"/>
  <c r="BR37" i="2"/>
  <c r="BR38" i="2"/>
  <c r="BR39" i="2"/>
  <c r="BR40" i="2"/>
  <c r="BR41" i="2"/>
  <c r="BR42" i="2"/>
  <c r="BR43" i="2"/>
  <c r="BR44" i="2"/>
  <c r="BR45" i="2"/>
  <c r="BR46" i="2"/>
  <c r="BR47" i="2"/>
  <c r="BR48" i="2"/>
  <c r="BR49" i="2"/>
  <c r="BR50" i="2"/>
  <c r="BR51" i="2"/>
  <c r="BR52" i="2"/>
  <c r="BR53" i="2"/>
  <c r="BR54" i="2"/>
  <c r="BR55" i="2"/>
  <c r="BR56" i="2"/>
  <c r="BR57" i="2"/>
  <c r="BR58" i="2"/>
  <c r="BR59" i="2"/>
  <c r="BR60" i="2"/>
  <c r="BR61" i="2"/>
  <c r="BR62" i="2"/>
  <c r="BR63" i="2"/>
  <c r="BR64" i="2"/>
  <c r="BR65" i="2"/>
  <c r="BR66" i="2"/>
  <c r="BR67" i="2"/>
  <c r="BR8" i="2"/>
  <c r="BS8" i="2" l="1"/>
  <c r="BT8" i="2"/>
  <c r="BU8" i="2"/>
  <c r="BS9" i="2"/>
  <c r="BT9" i="2"/>
  <c r="BU9" i="2"/>
  <c r="BS10" i="2"/>
  <c r="BT10" i="2"/>
  <c r="BU10" i="2"/>
  <c r="BS11" i="2"/>
  <c r="BT11" i="2"/>
  <c r="BU11" i="2"/>
  <c r="BS12" i="2"/>
  <c r="BT12" i="2"/>
  <c r="BU12" i="2"/>
  <c r="BS13" i="2"/>
  <c r="BT13" i="2"/>
  <c r="BU13" i="2"/>
  <c r="BS14" i="2"/>
  <c r="BT14" i="2"/>
  <c r="BU14" i="2"/>
  <c r="BS15" i="2"/>
  <c r="BT15" i="2"/>
  <c r="BU15" i="2"/>
  <c r="BS16" i="2"/>
  <c r="BT16" i="2"/>
  <c r="BU16" i="2"/>
  <c r="BS17" i="2"/>
  <c r="BT17" i="2"/>
  <c r="BU17" i="2"/>
  <c r="BS18" i="2"/>
  <c r="BT18" i="2"/>
  <c r="BU18" i="2"/>
  <c r="BS19" i="2"/>
  <c r="BT19" i="2"/>
  <c r="BU19" i="2"/>
  <c r="BS20" i="2"/>
  <c r="BT20" i="2"/>
  <c r="BU20" i="2"/>
  <c r="BS21" i="2"/>
  <c r="BT21" i="2"/>
  <c r="BU21" i="2"/>
  <c r="BS22" i="2"/>
  <c r="BT22" i="2"/>
  <c r="BU22" i="2"/>
  <c r="BS23" i="2"/>
  <c r="BT23" i="2"/>
  <c r="BU23" i="2"/>
  <c r="BS24" i="2"/>
  <c r="BT24" i="2"/>
  <c r="BU24" i="2"/>
  <c r="BS25" i="2"/>
  <c r="BT25" i="2"/>
  <c r="BU25" i="2"/>
  <c r="BS26" i="2"/>
  <c r="BT26" i="2"/>
  <c r="BU26" i="2"/>
  <c r="BS27" i="2"/>
  <c r="BT27" i="2"/>
  <c r="BU27" i="2"/>
  <c r="BS28" i="2"/>
  <c r="BT28" i="2"/>
  <c r="BU28" i="2"/>
  <c r="BS29" i="2"/>
  <c r="BT29" i="2"/>
  <c r="BU29" i="2"/>
  <c r="BS30" i="2"/>
  <c r="BT30" i="2"/>
  <c r="BU30" i="2"/>
  <c r="BS31" i="2"/>
  <c r="BT31" i="2"/>
  <c r="BU31" i="2"/>
  <c r="BS32" i="2"/>
  <c r="BT32" i="2"/>
  <c r="BU32" i="2"/>
  <c r="BS33" i="2"/>
  <c r="BT33" i="2"/>
  <c r="BU33" i="2"/>
  <c r="BS34" i="2"/>
  <c r="BT34" i="2"/>
  <c r="BU34" i="2"/>
  <c r="BS35" i="2"/>
  <c r="BT35" i="2"/>
  <c r="BU35" i="2"/>
  <c r="BS36" i="2"/>
  <c r="BT36" i="2"/>
  <c r="BU36" i="2"/>
  <c r="BS37" i="2"/>
  <c r="BT37" i="2"/>
  <c r="BU37" i="2"/>
  <c r="BS38" i="2"/>
  <c r="BT38" i="2"/>
  <c r="BU38" i="2"/>
  <c r="BS39" i="2"/>
  <c r="BT39" i="2"/>
  <c r="BU39" i="2"/>
  <c r="BS40" i="2"/>
  <c r="BT40" i="2"/>
  <c r="BU40" i="2"/>
  <c r="BS41" i="2"/>
  <c r="BT41" i="2"/>
  <c r="BU41" i="2"/>
  <c r="BS42" i="2"/>
  <c r="BT42" i="2"/>
  <c r="BU42" i="2"/>
  <c r="BS43" i="2"/>
  <c r="BT43" i="2"/>
  <c r="BU43" i="2"/>
  <c r="BS44" i="2"/>
  <c r="BT44" i="2"/>
  <c r="BU44" i="2"/>
  <c r="BS45" i="2"/>
  <c r="BT45" i="2"/>
  <c r="BU45" i="2"/>
  <c r="BS46" i="2"/>
  <c r="BT46" i="2"/>
  <c r="BU46" i="2"/>
  <c r="BS47" i="2"/>
  <c r="BT47" i="2"/>
  <c r="BU47" i="2"/>
  <c r="BS48" i="2"/>
  <c r="BT48" i="2"/>
  <c r="BU48" i="2"/>
  <c r="BS49" i="2"/>
  <c r="BT49" i="2"/>
  <c r="BU49" i="2"/>
  <c r="BS50" i="2"/>
  <c r="BT50" i="2"/>
  <c r="BU50" i="2"/>
  <c r="BS51" i="2"/>
  <c r="BT51" i="2"/>
  <c r="BU51" i="2"/>
  <c r="BS52" i="2"/>
  <c r="BT52" i="2"/>
  <c r="BU52" i="2"/>
  <c r="BS53" i="2"/>
  <c r="BT53" i="2"/>
  <c r="BU53" i="2"/>
  <c r="BS54" i="2"/>
  <c r="BT54" i="2"/>
  <c r="BU54" i="2"/>
  <c r="BS55" i="2"/>
  <c r="BT55" i="2"/>
  <c r="BU55" i="2"/>
  <c r="BS56" i="2"/>
  <c r="BT56" i="2"/>
  <c r="BU56" i="2"/>
  <c r="BJ18" i="2" l="1"/>
  <c r="BJ17" i="2"/>
  <c r="BJ16" i="2"/>
  <c r="BJ15" i="2"/>
  <c r="BJ14" i="2"/>
  <c r="BJ13" i="2"/>
  <c r="BJ12" i="2"/>
  <c r="BJ11" i="2"/>
  <c r="BJ10" i="2"/>
  <c r="BJ9" i="2"/>
  <c r="AS37" i="2"/>
  <c r="AS36" i="2"/>
  <c r="AS35" i="2"/>
  <c r="AS34" i="2"/>
  <c r="AS33" i="2"/>
  <c r="AS32" i="2"/>
  <c r="AS26" i="2"/>
  <c r="AS25" i="2"/>
  <c r="AS24" i="2"/>
  <c r="AS23" i="2"/>
  <c r="AS22" i="2"/>
  <c r="AS21" i="2"/>
  <c r="AS20" i="2"/>
  <c r="AS19" i="2"/>
  <c r="AS18" i="2"/>
  <c r="AS17" i="2"/>
  <c r="AS16" i="2"/>
  <c r="AS15" i="2"/>
  <c r="AS14" i="2"/>
  <c r="AS13" i="2"/>
  <c r="AS12" i="2"/>
  <c r="AS11" i="2"/>
  <c r="AS10" i="2"/>
  <c r="AS9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9" i="2"/>
  <c r="C7" i="2"/>
  <c r="D7" i="2"/>
  <c r="BB72" i="2" l="1"/>
  <c r="BB88" i="2"/>
  <c r="BB104" i="2"/>
  <c r="BB120" i="2"/>
  <c r="BB136" i="2"/>
  <c r="BB152" i="2"/>
  <c r="BB68" i="2"/>
  <c r="BB75" i="2"/>
  <c r="BB91" i="2"/>
  <c r="BB107" i="2"/>
  <c r="BB123" i="2"/>
  <c r="BB139" i="2"/>
  <c r="BB155" i="2"/>
  <c r="BB142" i="2"/>
  <c r="BB132" i="2"/>
  <c r="BB78" i="2"/>
  <c r="BB94" i="2"/>
  <c r="BB110" i="2"/>
  <c r="BB126" i="2"/>
  <c r="BB81" i="2"/>
  <c r="BB97" i="2"/>
  <c r="BB113" i="2"/>
  <c r="BB129" i="2"/>
  <c r="BB145" i="2"/>
  <c r="BB148" i="2"/>
  <c r="BB84" i="2"/>
  <c r="BB100" i="2"/>
  <c r="BB116" i="2"/>
  <c r="BB71" i="2"/>
  <c r="BB87" i="2"/>
  <c r="BB103" i="2"/>
  <c r="BB119" i="2"/>
  <c r="BB135" i="2"/>
  <c r="BB151" i="2"/>
  <c r="BB154" i="2"/>
  <c r="BB74" i="2"/>
  <c r="BB90" i="2"/>
  <c r="BB106" i="2"/>
  <c r="BB122" i="2"/>
  <c r="BB138" i="2"/>
  <c r="BB77" i="2"/>
  <c r="BB93" i="2"/>
  <c r="BB109" i="2"/>
  <c r="BB125" i="2"/>
  <c r="BB141" i="2"/>
  <c r="BB157" i="2"/>
  <c r="BB133" i="2"/>
  <c r="BB80" i="2"/>
  <c r="BB96" i="2"/>
  <c r="BB112" i="2"/>
  <c r="BB128" i="2"/>
  <c r="BB144" i="2"/>
  <c r="BB153" i="2"/>
  <c r="BB124" i="2"/>
  <c r="BB70" i="2"/>
  <c r="BB83" i="2"/>
  <c r="BB99" i="2"/>
  <c r="BB115" i="2"/>
  <c r="BB131" i="2"/>
  <c r="BB147" i="2"/>
  <c r="BB134" i="2"/>
  <c r="BB150" i="2"/>
  <c r="BB140" i="2"/>
  <c r="BB156" i="2"/>
  <c r="BB149" i="2"/>
  <c r="BB86" i="2"/>
  <c r="BB102" i="2"/>
  <c r="BB118" i="2"/>
  <c r="BB73" i="2"/>
  <c r="BB89" i="2"/>
  <c r="BB105" i="2"/>
  <c r="BB121" i="2"/>
  <c r="BB137" i="2"/>
  <c r="BB76" i="2"/>
  <c r="BB92" i="2"/>
  <c r="BB108" i="2"/>
  <c r="BB69" i="2"/>
  <c r="BB79" i="2"/>
  <c r="BB95" i="2"/>
  <c r="BB111" i="2"/>
  <c r="BB127" i="2"/>
  <c r="BB143" i="2"/>
  <c r="BB85" i="2"/>
  <c r="BB82" i="2"/>
  <c r="BB98" i="2"/>
  <c r="BB114" i="2"/>
  <c r="BB130" i="2"/>
  <c r="BB146" i="2"/>
  <c r="BB101" i="2"/>
  <c r="BB117" i="2"/>
  <c r="D59" i="3"/>
  <c r="BC85" i="2"/>
  <c r="BC101" i="2"/>
  <c r="BC117" i="2"/>
  <c r="BC133" i="2"/>
  <c r="BC149" i="2"/>
  <c r="BC72" i="2"/>
  <c r="BC88" i="2"/>
  <c r="BC104" i="2"/>
  <c r="BC120" i="2"/>
  <c r="BC136" i="2"/>
  <c r="BC152" i="2"/>
  <c r="BC155" i="2"/>
  <c r="BC145" i="2"/>
  <c r="BC114" i="2"/>
  <c r="BC130" i="2"/>
  <c r="BC68" i="2"/>
  <c r="BC75" i="2"/>
  <c r="BC91" i="2"/>
  <c r="BC107" i="2"/>
  <c r="BC123" i="2"/>
  <c r="BC139" i="2"/>
  <c r="BC78" i="2"/>
  <c r="BC94" i="2"/>
  <c r="BC110" i="2"/>
  <c r="BC126" i="2"/>
  <c r="BC142" i="2"/>
  <c r="BC81" i="2"/>
  <c r="BC97" i="2"/>
  <c r="BC113" i="2"/>
  <c r="BC129" i="2"/>
  <c r="BC84" i="2"/>
  <c r="BC100" i="2"/>
  <c r="BC116" i="2"/>
  <c r="BC132" i="2"/>
  <c r="BC148" i="2"/>
  <c r="BC71" i="2"/>
  <c r="BC87" i="2"/>
  <c r="BC103" i="2"/>
  <c r="BC119" i="2"/>
  <c r="BC135" i="2"/>
  <c r="BC151" i="2"/>
  <c r="BC74" i="2"/>
  <c r="BC90" i="2"/>
  <c r="BC106" i="2"/>
  <c r="BC122" i="2"/>
  <c r="BC138" i="2"/>
  <c r="BC154" i="2"/>
  <c r="BC77" i="2"/>
  <c r="BC93" i="2"/>
  <c r="BC109" i="2"/>
  <c r="BC125" i="2"/>
  <c r="BC141" i="2"/>
  <c r="BC157" i="2"/>
  <c r="BC80" i="2"/>
  <c r="BC96" i="2"/>
  <c r="BC112" i="2"/>
  <c r="BC128" i="2"/>
  <c r="BC144" i="2"/>
  <c r="BC131" i="2"/>
  <c r="BC147" i="2"/>
  <c r="BC121" i="2"/>
  <c r="BC137" i="2"/>
  <c r="BC70" i="2"/>
  <c r="BC83" i="2"/>
  <c r="BC99" i="2"/>
  <c r="BC115" i="2"/>
  <c r="BC86" i="2"/>
  <c r="BC102" i="2"/>
  <c r="BC118" i="2"/>
  <c r="BC134" i="2"/>
  <c r="BC150" i="2"/>
  <c r="BC153" i="2"/>
  <c r="BC73" i="2"/>
  <c r="BC89" i="2"/>
  <c r="BC105" i="2"/>
  <c r="BC76" i="2"/>
  <c r="BC92" i="2"/>
  <c r="BC108" i="2"/>
  <c r="BC124" i="2"/>
  <c r="BC140" i="2"/>
  <c r="BC156" i="2"/>
  <c r="BC82" i="2"/>
  <c r="BC98" i="2"/>
  <c r="BC146" i="2"/>
  <c r="BC69" i="2"/>
  <c r="BC79" i="2"/>
  <c r="BC95" i="2"/>
  <c r="BC111" i="2"/>
  <c r="BC127" i="2"/>
  <c r="BC143" i="2"/>
  <c r="D58" i="3"/>
  <c r="AL141" i="2"/>
  <c r="AL145" i="2"/>
  <c r="AL149" i="2"/>
  <c r="AL153" i="2"/>
  <c r="AL157" i="2"/>
  <c r="AL125" i="2"/>
  <c r="AL129" i="2"/>
  <c r="AL133" i="2"/>
  <c r="AL137" i="2"/>
  <c r="AL67" i="2"/>
  <c r="AL71" i="2"/>
  <c r="AL75" i="2"/>
  <c r="AL79" i="2"/>
  <c r="AL83" i="2"/>
  <c r="AL87" i="2"/>
  <c r="AL91" i="2"/>
  <c r="AL95" i="2"/>
  <c r="AL99" i="2"/>
  <c r="AL103" i="2"/>
  <c r="AL107" i="2"/>
  <c r="AL111" i="2"/>
  <c r="AL115" i="2"/>
  <c r="AL119" i="2"/>
  <c r="AL124" i="2"/>
  <c r="AL128" i="2"/>
  <c r="AL132" i="2"/>
  <c r="AL136" i="2"/>
  <c r="AL140" i="2"/>
  <c r="AL70" i="2"/>
  <c r="AL74" i="2"/>
  <c r="AL78" i="2"/>
  <c r="AL82" i="2"/>
  <c r="AL86" i="2"/>
  <c r="AL144" i="2"/>
  <c r="AL148" i="2"/>
  <c r="AL152" i="2"/>
  <c r="AL156" i="2"/>
  <c r="AL142" i="2"/>
  <c r="AL146" i="2"/>
  <c r="AL150" i="2"/>
  <c r="AL154" i="2"/>
  <c r="AL122" i="2"/>
  <c r="AL126" i="2"/>
  <c r="AL130" i="2"/>
  <c r="AL134" i="2"/>
  <c r="AL138" i="2"/>
  <c r="AL68" i="2"/>
  <c r="AL72" i="2"/>
  <c r="AL76" i="2"/>
  <c r="AL80" i="2"/>
  <c r="AL84" i="2"/>
  <c r="AL88" i="2"/>
  <c r="AL92" i="2"/>
  <c r="AL96" i="2"/>
  <c r="AL100" i="2"/>
  <c r="AL89" i="2"/>
  <c r="AL93" i="2"/>
  <c r="AL117" i="2"/>
  <c r="AL123" i="2"/>
  <c r="AL102" i="2"/>
  <c r="AL112" i="2"/>
  <c r="AL85" i="2"/>
  <c r="AL73" i="2"/>
  <c r="AL97" i="2"/>
  <c r="AL114" i="2"/>
  <c r="AL109" i="2"/>
  <c r="AL77" i="2"/>
  <c r="AL104" i="2"/>
  <c r="AL143" i="2"/>
  <c r="AL135" i="2"/>
  <c r="AL90" i="2"/>
  <c r="AL121" i="2"/>
  <c r="AL147" i="2"/>
  <c r="AL127" i="2"/>
  <c r="AL81" i="2"/>
  <c r="AL101" i="2"/>
  <c r="AL113" i="2"/>
  <c r="AL108" i="2"/>
  <c r="AL69" i="2"/>
  <c r="AL94" i="2"/>
  <c r="AL106" i="2"/>
  <c r="AL116" i="2"/>
  <c r="AL118" i="2"/>
  <c r="AL151" i="2"/>
  <c r="AL98" i="2"/>
  <c r="AL105" i="2"/>
  <c r="AL155" i="2"/>
  <c r="AL120" i="2"/>
  <c r="AL131" i="2"/>
  <c r="AL110" i="2"/>
  <c r="AL139" i="2"/>
  <c r="AK141" i="2"/>
  <c r="AK145" i="2"/>
  <c r="AK149" i="2"/>
  <c r="AK153" i="2"/>
  <c r="AK157" i="2"/>
  <c r="AK125" i="2"/>
  <c r="AK129" i="2"/>
  <c r="AK133" i="2"/>
  <c r="AK137" i="2"/>
  <c r="AK67" i="2"/>
  <c r="AK71" i="2"/>
  <c r="AK75" i="2"/>
  <c r="AK79" i="2"/>
  <c r="AK83" i="2"/>
  <c r="AK87" i="2"/>
  <c r="AK91" i="2"/>
  <c r="AK95" i="2"/>
  <c r="AK99" i="2"/>
  <c r="AK103" i="2"/>
  <c r="AK107" i="2"/>
  <c r="AK111" i="2"/>
  <c r="AK115" i="2"/>
  <c r="AK119" i="2"/>
  <c r="AK144" i="2"/>
  <c r="AK148" i="2"/>
  <c r="AK152" i="2"/>
  <c r="AK156" i="2"/>
  <c r="AK124" i="2"/>
  <c r="AK128" i="2"/>
  <c r="AK132" i="2"/>
  <c r="AK136" i="2"/>
  <c r="AK140" i="2"/>
  <c r="AK70" i="2"/>
  <c r="AK74" i="2"/>
  <c r="AK78" i="2"/>
  <c r="AK82" i="2"/>
  <c r="AK86" i="2"/>
  <c r="AK90" i="2"/>
  <c r="AK94" i="2"/>
  <c r="AK98" i="2"/>
  <c r="AK102" i="2"/>
  <c r="AK106" i="2"/>
  <c r="AK110" i="2"/>
  <c r="AK114" i="2"/>
  <c r="AK118" i="2"/>
  <c r="AK143" i="2"/>
  <c r="AK142" i="2"/>
  <c r="AK146" i="2"/>
  <c r="AK150" i="2"/>
  <c r="AK154" i="2"/>
  <c r="AK122" i="2"/>
  <c r="AK126" i="2"/>
  <c r="AK130" i="2"/>
  <c r="AK134" i="2"/>
  <c r="AK138" i="2"/>
  <c r="AK68" i="2"/>
  <c r="AK72" i="2"/>
  <c r="AK76" i="2"/>
  <c r="AK80" i="2"/>
  <c r="AK84" i="2"/>
  <c r="AK88" i="2"/>
  <c r="AK92" i="2"/>
  <c r="AK89" i="2"/>
  <c r="AK93" i="2"/>
  <c r="AK117" i="2"/>
  <c r="AK112" i="2"/>
  <c r="AK73" i="2"/>
  <c r="AK97" i="2"/>
  <c r="AK120" i="2"/>
  <c r="AK155" i="2"/>
  <c r="AK123" i="2"/>
  <c r="AK85" i="2"/>
  <c r="AK109" i="2"/>
  <c r="AK104" i="2"/>
  <c r="AK121" i="2"/>
  <c r="AK135" i="2"/>
  <c r="AK69" i="2"/>
  <c r="AK116" i="2"/>
  <c r="AK108" i="2"/>
  <c r="AK147" i="2"/>
  <c r="AK127" i="2"/>
  <c r="AK81" i="2"/>
  <c r="AK101" i="2"/>
  <c r="AK151" i="2"/>
  <c r="AK96" i="2"/>
  <c r="AK113" i="2"/>
  <c r="AK131" i="2"/>
  <c r="AK139" i="2"/>
  <c r="AK77" i="2"/>
  <c r="AK100" i="2"/>
  <c r="AK105" i="2"/>
  <c r="U74" i="2"/>
  <c r="U90" i="2"/>
  <c r="U77" i="2"/>
  <c r="U93" i="2"/>
  <c r="U109" i="2"/>
  <c r="U125" i="2"/>
  <c r="U80" i="2"/>
  <c r="U96" i="2"/>
  <c r="U112" i="2"/>
  <c r="U128" i="2"/>
  <c r="U144" i="2"/>
  <c r="U67" i="2"/>
  <c r="U83" i="2"/>
  <c r="U99" i="2"/>
  <c r="U115" i="2"/>
  <c r="U131" i="2"/>
  <c r="U147" i="2"/>
  <c r="U86" i="2"/>
  <c r="U102" i="2"/>
  <c r="U118" i="2"/>
  <c r="U70" i="2"/>
  <c r="U73" i="2"/>
  <c r="U89" i="2"/>
  <c r="U105" i="2"/>
  <c r="U121" i="2"/>
  <c r="U137" i="2"/>
  <c r="U76" i="2"/>
  <c r="U92" i="2"/>
  <c r="U108" i="2"/>
  <c r="U124" i="2"/>
  <c r="U140" i="2"/>
  <c r="U156" i="2"/>
  <c r="U117" i="2"/>
  <c r="U119" i="2"/>
  <c r="U126" i="2"/>
  <c r="U150" i="2"/>
  <c r="U157" i="2"/>
  <c r="U75" i="2"/>
  <c r="U110" i="2"/>
  <c r="U88" i="2"/>
  <c r="U101" i="2"/>
  <c r="U103" i="2"/>
  <c r="U139" i="2"/>
  <c r="U143" i="2"/>
  <c r="U152" i="2"/>
  <c r="U135" i="2"/>
  <c r="U81" i="2"/>
  <c r="U104" i="2"/>
  <c r="U106" i="2"/>
  <c r="U129" i="2"/>
  <c r="U149" i="2"/>
  <c r="U68" i="2"/>
  <c r="U79" i="2"/>
  <c r="U94" i="2"/>
  <c r="U78" i="2"/>
  <c r="U133" i="2"/>
  <c r="U141" i="2"/>
  <c r="U145" i="2"/>
  <c r="U120" i="2"/>
  <c r="U71" i="2"/>
  <c r="U123" i="2"/>
  <c r="U91" i="2"/>
  <c r="U122" i="2"/>
  <c r="U154" i="2"/>
  <c r="U111" i="2"/>
  <c r="U113" i="2"/>
  <c r="U127" i="2"/>
  <c r="U84" i="2"/>
  <c r="U100" i="2"/>
  <c r="U116" i="2"/>
  <c r="U130" i="2"/>
  <c r="U114" i="2"/>
  <c r="U69" i="2"/>
  <c r="U148" i="2"/>
  <c r="U136" i="2"/>
  <c r="U155" i="2"/>
  <c r="U87" i="2"/>
  <c r="U97" i="2"/>
  <c r="U146" i="2"/>
  <c r="U72" i="2"/>
  <c r="U134" i="2"/>
  <c r="U82" i="2"/>
  <c r="U98" i="2"/>
  <c r="U142" i="2"/>
  <c r="U153" i="2"/>
  <c r="U85" i="2"/>
  <c r="U138" i="2"/>
  <c r="U151" i="2"/>
  <c r="U107" i="2"/>
  <c r="U95" i="2"/>
  <c r="U132" i="2"/>
  <c r="T77" i="2"/>
  <c r="T93" i="2"/>
  <c r="T80" i="2"/>
  <c r="T96" i="2"/>
  <c r="T112" i="2"/>
  <c r="T128" i="2"/>
  <c r="T67" i="2"/>
  <c r="T83" i="2"/>
  <c r="T99" i="2"/>
  <c r="T115" i="2"/>
  <c r="T131" i="2"/>
  <c r="T147" i="2"/>
  <c r="T70" i="2"/>
  <c r="T86" i="2"/>
  <c r="T102" i="2"/>
  <c r="T118" i="2"/>
  <c r="T134" i="2"/>
  <c r="T150" i="2"/>
  <c r="T105" i="2"/>
  <c r="T121" i="2"/>
  <c r="T73" i="2"/>
  <c r="T89" i="2"/>
  <c r="T76" i="2"/>
  <c r="T92" i="2"/>
  <c r="T108" i="2"/>
  <c r="T124" i="2"/>
  <c r="T140" i="2"/>
  <c r="T79" i="2"/>
  <c r="T95" i="2"/>
  <c r="T111" i="2"/>
  <c r="T127" i="2"/>
  <c r="T143" i="2"/>
  <c r="T75" i="2"/>
  <c r="T90" i="2"/>
  <c r="T110" i="2"/>
  <c r="T139" i="2"/>
  <c r="T94" i="2"/>
  <c r="T71" i="2"/>
  <c r="T125" i="2"/>
  <c r="T88" i="2"/>
  <c r="T101" i="2"/>
  <c r="T103" i="2"/>
  <c r="T152" i="2"/>
  <c r="T137" i="2"/>
  <c r="T78" i="2"/>
  <c r="T133" i="2"/>
  <c r="T141" i="2"/>
  <c r="T145" i="2"/>
  <c r="T156" i="2"/>
  <c r="T68" i="2"/>
  <c r="T123" i="2"/>
  <c r="T151" i="2"/>
  <c r="T69" i="2"/>
  <c r="T84" i="2"/>
  <c r="T97" i="2"/>
  <c r="T114" i="2"/>
  <c r="T116" i="2"/>
  <c r="T136" i="2"/>
  <c r="T91" i="2"/>
  <c r="T120" i="2"/>
  <c r="T122" i="2"/>
  <c r="T135" i="2"/>
  <c r="T154" i="2"/>
  <c r="T149" i="2"/>
  <c r="T113" i="2"/>
  <c r="T81" i="2"/>
  <c r="T104" i="2"/>
  <c r="T106" i="2"/>
  <c r="T129" i="2"/>
  <c r="T100" i="2"/>
  <c r="T130" i="2"/>
  <c r="T148" i="2"/>
  <c r="T109" i="2"/>
  <c r="T157" i="2"/>
  <c r="T85" i="2"/>
  <c r="T138" i="2"/>
  <c r="T87" i="2"/>
  <c r="T146" i="2"/>
  <c r="T72" i="2"/>
  <c r="T126" i="2"/>
  <c r="T119" i="2"/>
  <c r="T82" i="2"/>
  <c r="T98" i="2"/>
  <c r="T74" i="2"/>
  <c r="T107" i="2"/>
  <c r="T142" i="2"/>
  <c r="T153" i="2"/>
  <c r="T144" i="2"/>
  <c r="T117" i="2"/>
  <c r="T132" i="2"/>
  <c r="T155" i="2"/>
  <c r="C37" i="2"/>
  <c r="C41" i="2"/>
  <c r="C45" i="2"/>
  <c r="C49" i="2"/>
  <c r="C53" i="2"/>
  <c r="C57" i="2"/>
  <c r="C61" i="2"/>
  <c r="C65" i="2"/>
  <c r="C69" i="2"/>
  <c r="C73" i="2"/>
  <c r="C77" i="2"/>
  <c r="C81" i="2"/>
  <c r="C85" i="2"/>
  <c r="C89" i="2"/>
  <c r="C93" i="2"/>
  <c r="C97" i="2"/>
  <c r="C101" i="2"/>
  <c r="C105" i="2"/>
  <c r="C109" i="2"/>
  <c r="C113" i="2"/>
  <c r="C117" i="2"/>
  <c r="C121" i="2"/>
  <c r="C125" i="2"/>
  <c r="C129" i="2"/>
  <c r="C133" i="2"/>
  <c r="C137" i="2"/>
  <c r="C141" i="2"/>
  <c r="C145" i="2"/>
  <c r="C149" i="2"/>
  <c r="C153" i="2"/>
  <c r="C157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38" i="2"/>
  <c r="C42" i="2"/>
  <c r="C46" i="2"/>
  <c r="C50" i="2"/>
  <c r="C54" i="2"/>
  <c r="C58" i="2"/>
  <c r="C62" i="2"/>
  <c r="C66" i="2"/>
  <c r="C70" i="2"/>
  <c r="C74" i="2"/>
  <c r="C78" i="2"/>
  <c r="C82" i="2"/>
  <c r="C86" i="2"/>
  <c r="C90" i="2"/>
  <c r="C94" i="2"/>
  <c r="C98" i="2"/>
  <c r="C102" i="2"/>
  <c r="C106" i="2"/>
  <c r="C110" i="2"/>
  <c r="C114" i="2"/>
  <c r="C118" i="2"/>
  <c r="C122" i="2"/>
  <c r="C126" i="2"/>
  <c r="C130" i="2"/>
  <c r="C134" i="2"/>
  <c r="C138" i="2"/>
  <c r="C142" i="2"/>
  <c r="C146" i="2"/>
  <c r="C150" i="2"/>
  <c r="C154" i="2"/>
  <c r="D24" i="2"/>
  <c r="D153" i="2"/>
  <c r="D157" i="2"/>
  <c r="D37" i="2"/>
  <c r="D41" i="2"/>
  <c r="D45" i="2"/>
  <c r="D49" i="2"/>
  <c r="D53" i="2"/>
  <c r="D57" i="2"/>
  <c r="D61" i="2"/>
  <c r="D65" i="2"/>
  <c r="D69" i="2"/>
  <c r="D73" i="2"/>
  <c r="D77" i="2"/>
  <c r="D81" i="2"/>
  <c r="D85" i="2"/>
  <c r="D89" i="2"/>
  <c r="D93" i="2"/>
  <c r="D97" i="2"/>
  <c r="D101" i="2"/>
  <c r="D105" i="2"/>
  <c r="D109" i="2"/>
  <c r="D113" i="2"/>
  <c r="D117" i="2"/>
  <c r="D121" i="2"/>
  <c r="D125" i="2"/>
  <c r="D129" i="2"/>
  <c r="D133" i="2"/>
  <c r="D137" i="2"/>
  <c r="D141" i="2"/>
  <c r="D145" i="2"/>
  <c r="D149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39" i="2"/>
  <c r="D154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38" i="2"/>
  <c r="D42" i="2"/>
  <c r="D46" i="2"/>
  <c r="D50" i="2"/>
  <c r="D54" i="2"/>
  <c r="D58" i="2"/>
  <c r="D62" i="2"/>
  <c r="D66" i="2"/>
  <c r="D70" i="2"/>
  <c r="D74" i="2"/>
  <c r="D78" i="2"/>
  <c r="D82" i="2"/>
  <c r="D86" i="2"/>
  <c r="D90" i="2"/>
  <c r="D94" i="2"/>
  <c r="D98" i="2"/>
  <c r="D102" i="2"/>
  <c r="D106" i="2"/>
  <c r="D110" i="2"/>
  <c r="D114" i="2"/>
  <c r="D118" i="2"/>
  <c r="D122" i="2"/>
  <c r="D126" i="2"/>
  <c r="D130" i="2"/>
  <c r="D134" i="2"/>
  <c r="D138" i="2"/>
  <c r="D142" i="2"/>
  <c r="D146" i="2"/>
  <c r="D150" i="2"/>
  <c r="D155" i="2"/>
  <c r="U19" i="2"/>
  <c r="D57" i="3"/>
  <c r="T22" i="2"/>
  <c r="C57" i="3"/>
  <c r="AK9" i="2"/>
  <c r="C58" i="3"/>
  <c r="BB17" i="2"/>
  <c r="C59" i="3"/>
  <c r="U48" i="2"/>
  <c r="T19" i="2"/>
  <c r="T66" i="2"/>
  <c r="T49" i="2"/>
  <c r="T32" i="2"/>
  <c r="T15" i="2"/>
  <c r="U18" i="2"/>
  <c r="T30" i="2"/>
  <c r="T63" i="2"/>
  <c r="T12" i="2"/>
  <c r="T61" i="2"/>
  <c r="T44" i="2"/>
  <c r="T27" i="2"/>
  <c r="T26" i="2"/>
  <c r="T58" i="2"/>
  <c r="T24" i="2"/>
  <c r="U65" i="2"/>
  <c r="T57" i="2"/>
  <c r="T40" i="2"/>
  <c r="T23" i="2"/>
  <c r="U64" i="2"/>
  <c r="T53" i="2"/>
  <c r="T36" i="2"/>
  <c r="T8" i="2"/>
  <c r="T52" i="2"/>
  <c r="T35" i="2"/>
  <c r="T18" i="2"/>
  <c r="U34" i="2"/>
  <c r="T51" i="2"/>
  <c r="T34" i="2"/>
  <c r="T17" i="2"/>
  <c r="U33" i="2"/>
  <c r="V7" i="2"/>
  <c r="T50" i="2"/>
  <c r="T33" i="2"/>
  <c r="T16" i="2"/>
  <c r="U32" i="2"/>
  <c r="T65" i="2"/>
  <c r="T48" i="2"/>
  <c r="T31" i="2"/>
  <c r="T14" i="2"/>
  <c r="U17" i="2"/>
  <c r="T64" i="2"/>
  <c r="T47" i="2"/>
  <c r="T13" i="2"/>
  <c r="U16" i="2"/>
  <c r="T46" i="2"/>
  <c r="T29" i="2"/>
  <c r="U10" i="2"/>
  <c r="T62" i="2"/>
  <c r="T45" i="2"/>
  <c r="T28" i="2"/>
  <c r="T11" i="2"/>
  <c r="T10" i="2"/>
  <c r="T60" i="2"/>
  <c r="T43" i="2"/>
  <c r="T9" i="2"/>
  <c r="T59" i="2"/>
  <c r="T42" i="2"/>
  <c r="T25" i="2"/>
  <c r="U66" i="2"/>
  <c r="T41" i="2"/>
  <c r="T56" i="2"/>
  <c r="T39" i="2"/>
  <c r="T21" i="2"/>
  <c r="U50" i="2"/>
  <c r="T55" i="2"/>
  <c r="T37" i="2"/>
  <c r="T20" i="2"/>
  <c r="U49" i="2"/>
  <c r="U61" i="2"/>
  <c r="U45" i="2"/>
  <c r="U29" i="2"/>
  <c r="U13" i="2"/>
  <c r="U60" i="2"/>
  <c r="U44" i="2"/>
  <c r="U28" i="2"/>
  <c r="U12" i="2"/>
  <c r="U63" i="2"/>
  <c r="U47" i="2"/>
  <c r="U31" i="2"/>
  <c r="U15" i="2"/>
  <c r="U62" i="2"/>
  <c r="U46" i="2"/>
  <c r="U30" i="2"/>
  <c r="U14" i="2"/>
  <c r="U59" i="2"/>
  <c r="U43" i="2"/>
  <c r="U27" i="2"/>
  <c r="U11" i="2"/>
  <c r="U58" i="2"/>
  <c r="U42" i="2"/>
  <c r="U26" i="2"/>
  <c r="U41" i="2"/>
  <c r="U9" i="2"/>
  <c r="U56" i="2"/>
  <c r="U24" i="2"/>
  <c r="U57" i="2"/>
  <c r="U25" i="2"/>
  <c r="U40" i="2"/>
  <c r="U55" i="2"/>
  <c r="U39" i="2"/>
  <c r="U23" i="2"/>
  <c r="U54" i="2"/>
  <c r="U38" i="2"/>
  <c r="U22" i="2"/>
  <c r="U8" i="2"/>
  <c r="U53" i="2"/>
  <c r="U37" i="2"/>
  <c r="U21" i="2"/>
  <c r="U52" i="2"/>
  <c r="U36" i="2"/>
  <c r="U20" i="2"/>
  <c r="T54" i="2"/>
  <c r="T38" i="2"/>
  <c r="U51" i="2"/>
  <c r="U35" i="2"/>
  <c r="AN7" i="2"/>
  <c r="AL55" i="2"/>
  <c r="AL23" i="2"/>
  <c r="AK48" i="2"/>
  <c r="AK16" i="2"/>
  <c r="AK64" i="2"/>
  <c r="AK32" i="2"/>
  <c r="AL39" i="2"/>
  <c r="BE7" i="2"/>
  <c r="BB64" i="2"/>
  <c r="BB48" i="2"/>
  <c r="BB32" i="2"/>
  <c r="BB16" i="2"/>
  <c r="BC61" i="2"/>
  <c r="BC45" i="2"/>
  <c r="BC29" i="2"/>
  <c r="BC13" i="2"/>
  <c r="BB63" i="2"/>
  <c r="BB47" i="2"/>
  <c r="BB31" i="2"/>
  <c r="BB15" i="2"/>
  <c r="BC60" i="2"/>
  <c r="BC44" i="2"/>
  <c r="BC28" i="2"/>
  <c r="BC12" i="2"/>
  <c r="BB62" i="2"/>
  <c r="BB46" i="2"/>
  <c r="BB30" i="2"/>
  <c r="BB14" i="2"/>
  <c r="BC59" i="2"/>
  <c r="BC43" i="2"/>
  <c r="BC27" i="2"/>
  <c r="BC11" i="2"/>
  <c r="BB61" i="2"/>
  <c r="BB45" i="2"/>
  <c r="BB29" i="2"/>
  <c r="BB13" i="2"/>
  <c r="BC58" i="2"/>
  <c r="BC42" i="2"/>
  <c r="BC26" i="2"/>
  <c r="BC10" i="2"/>
  <c r="BH7" i="2"/>
  <c r="BB60" i="2"/>
  <c r="BB44" i="2"/>
  <c r="BB28" i="2"/>
  <c r="BB12" i="2"/>
  <c r="BC57" i="2"/>
  <c r="BC41" i="2"/>
  <c r="BC25" i="2"/>
  <c r="BC9" i="2"/>
  <c r="BB59" i="2"/>
  <c r="BB43" i="2"/>
  <c r="BB27" i="2"/>
  <c r="BB11" i="2"/>
  <c r="BC56" i="2"/>
  <c r="BC40" i="2"/>
  <c r="BC24" i="2"/>
  <c r="BB58" i="2"/>
  <c r="BB42" i="2"/>
  <c r="BB26" i="2"/>
  <c r="BB10" i="2"/>
  <c r="BC55" i="2"/>
  <c r="BC39" i="2"/>
  <c r="BC23" i="2"/>
  <c r="BI7" i="2"/>
  <c r="BI8" i="2" s="1"/>
  <c r="BI9" i="2" s="1"/>
  <c r="BI10" i="2" s="1"/>
  <c r="BI11" i="2" s="1"/>
  <c r="BI12" i="2" s="1"/>
  <c r="BI13" i="2" s="1"/>
  <c r="BI14" i="2" s="1"/>
  <c r="BI15" i="2" s="1"/>
  <c r="BI16" i="2" s="1"/>
  <c r="BI17" i="2" s="1"/>
  <c r="BI18" i="2" s="1"/>
  <c r="BI19" i="2" s="1"/>
  <c r="BI20" i="2" s="1"/>
  <c r="BI21" i="2" s="1"/>
  <c r="BI22" i="2" s="1"/>
  <c r="BI23" i="2" s="1"/>
  <c r="BI24" i="2" s="1"/>
  <c r="BI25" i="2" s="1"/>
  <c r="BI26" i="2" s="1"/>
  <c r="BI27" i="2" s="1"/>
  <c r="BI28" i="2" s="1"/>
  <c r="BI29" i="2" s="1"/>
  <c r="BI30" i="2" s="1"/>
  <c r="BI31" i="2" s="1"/>
  <c r="BI32" i="2" s="1"/>
  <c r="BI33" i="2" s="1"/>
  <c r="BI34" i="2" s="1"/>
  <c r="BI35" i="2" s="1"/>
  <c r="BI36" i="2" s="1"/>
  <c r="BI37" i="2" s="1"/>
  <c r="BI38" i="2" s="1"/>
  <c r="BI39" i="2" s="1"/>
  <c r="BI40" i="2" s="1"/>
  <c r="BI41" i="2" s="1"/>
  <c r="BI42" i="2" s="1"/>
  <c r="BI43" i="2" s="1"/>
  <c r="BI44" i="2" s="1"/>
  <c r="BI45" i="2" s="1"/>
  <c r="BI46" i="2" s="1"/>
  <c r="BI47" i="2" s="1"/>
  <c r="BI48" i="2" s="1"/>
  <c r="BI49" i="2" s="1"/>
  <c r="BI50" i="2" s="1"/>
  <c r="BI51" i="2" s="1"/>
  <c r="BI52" i="2" s="1"/>
  <c r="BI53" i="2" s="1"/>
  <c r="BI54" i="2" s="1"/>
  <c r="BI55" i="2" s="1"/>
  <c r="BI56" i="2" s="1"/>
  <c r="BI57" i="2" s="1"/>
  <c r="BI58" i="2" s="1"/>
  <c r="BI59" i="2" s="1"/>
  <c r="BI60" i="2" s="1"/>
  <c r="BI61" i="2" s="1"/>
  <c r="BI62" i="2" s="1"/>
  <c r="BI63" i="2" s="1"/>
  <c r="BI64" i="2" s="1"/>
  <c r="BI65" i="2" s="1"/>
  <c r="BI66" i="2" s="1"/>
  <c r="BI67" i="2" s="1"/>
  <c r="BI68" i="2" s="1"/>
  <c r="BI69" i="2" s="1"/>
  <c r="BI70" i="2" s="1"/>
  <c r="BI71" i="2" s="1"/>
  <c r="BI72" i="2" s="1"/>
  <c r="BI73" i="2" s="1"/>
  <c r="BI74" i="2" s="1"/>
  <c r="BI75" i="2" s="1"/>
  <c r="BI76" i="2" s="1"/>
  <c r="BI77" i="2" s="1"/>
  <c r="BI78" i="2" s="1"/>
  <c r="BI79" i="2" s="1"/>
  <c r="BI80" i="2" s="1"/>
  <c r="BI81" i="2" s="1"/>
  <c r="BI82" i="2" s="1"/>
  <c r="BI83" i="2" s="1"/>
  <c r="BI84" i="2" s="1"/>
  <c r="BI85" i="2" s="1"/>
  <c r="BI86" i="2" s="1"/>
  <c r="BI87" i="2" s="1"/>
  <c r="BI88" i="2" s="1"/>
  <c r="BI89" i="2" s="1"/>
  <c r="BI90" i="2" s="1"/>
  <c r="BI91" i="2" s="1"/>
  <c r="BI92" i="2" s="1"/>
  <c r="BI93" i="2" s="1"/>
  <c r="BI94" i="2" s="1"/>
  <c r="BI95" i="2" s="1"/>
  <c r="BI96" i="2" s="1"/>
  <c r="BI97" i="2" s="1"/>
  <c r="BI98" i="2" s="1"/>
  <c r="BI99" i="2" s="1"/>
  <c r="BI100" i="2" s="1"/>
  <c r="BI101" i="2" s="1"/>
  <c r="BI102" i="2" s="1"/>
  <c r="BI103" i="2" s="1"/>
  <c r="BI104" i="2" s="1"/>
  <c r="BI105" i="2" s="1"/>
  <c r="BI106" i="2" s="1"/>
  <c r="BI107" i="2" s="1"/>
  <c r="BI108" i="2" s="1"/>
  <c r="BI109" i="2" s="1"/>
  <c r="BI110" i="2" s="1"/>
  <c r="BI111" i="2" s="1"/>
  <c r="BI112" i="2" s="1"/>
  <c r="BI113" i="2" s="1"/>
  <c r="BI114" i="2" s="1"/>
  <c r="BI115" i="2" s="1"/>
  <c r="BI116" i="2" s="1"/>
  <c r="BI117" i="2" s="1"/>
  <c r="BI118" i="2" s="1"/>
  <c r="BI119" i="2" s="1"/>
  <c r="BI120" i="2" s="1"/>
  <c r="BI121" i="2" s="1"/>
  <c r="BI122" i="2" s="1"/>
  <c r="BI123" i="2" s="1"/>
  <c r="BI124" i="2" s="1"/>
  <c r="BI125" i="2" s="1"/>
  <c r="BI126" i="2" s="1"/>
  <c r="BI127" i="2" s="1"/>
  <c r="BI128" i="2" s="1"/>
  <c r="BI129" i="2" s="1"/>
  <c r="BI130" i="2" s="1"/>
  <c r="BI131" i="2" s="1"/>
  <c r="BI132" i="2" s="1"/>
  <c r="BI133" i="2" s="1"/>
  <c r="BI134" i="2" s="1"/>
  <c r="BI135" i="2" s="1"/>
  <c r="BI136" i="2" s="1"/>
  <c r="BI137" i="2" s="1"/>
  <c r="BI138" i="2" s="1"/>
  <c r="BI139" i="2" s="1"/>
  <c r="BI140" i="2" s="1"/>
  <c r="BI141" i="2" s="1"/>
  <c r="BI142" i="2" s="1"/>
  <c r="BI143" i="2" s="1"/>
  <c r="BI144" i="2" s="1"/>
  <c r="BI145" i="2" s="1"/>
  <c r="BI146" i="2" s="1"/>
  <c r="BI147" i="2" s="1"/>
  <c r="BI148" i="2" s="1"/>
  <c r="BI149" i="2" s="1"/>
  <c r="BI150" i="2" s="1"/>
  <c r="BI151" i="2" s="1"/>
  <c r="BI152" i="2" s="1"/>
  <c r="BI153" i="2" s="1"/>
  <c r="BI154" i="2" s="1"/>
  <c r="BI155" i="2" s="1"/>
  <c r="BI156" i="2" s="1"/>
  <c r="BI157" i="2" s="1"/>
  <c r="BB57" i="2"/>
  <c r="BB41" i="2"/>
  <c r="BB25" i="2"/>
  <c r="BB9" i="2"/>
  <c r="BC54" i="2"/>
  <c r="BC38" i="2"/>
  <c r="BC22" i="2"/>
  <c r="BB56" i="2"/>
  <c r="BB40" i="2"/>
  <c r="BB24" i="2"/>
  <c r="BC8" i="2"/>
  <c r="BC53" i="2"/>
  <c r="BC37" i="2"/>
  <c r="BC21" i="2"/>
  <c r="BB55" i="2"/>
  <c r="BB39" i="2"/>
  <c r="BB23" i="2"/>
  <c r="BC52" i="2"/>
  <c r="BC36" i="2"/>
  <c r="BC20" i="2"/>
  <c r="BB54" i="2"/>
  <c r="BB38" i="2"/>
  <c r="BB22" i="2"/>
  <c r="BC67" i="2"/>
  <c r="BC51" i="2"/>
  <c r="BC35" i="2"/>
  <c r="BC19" i="2"/>
  <c r="BB8" i="2"/>
  <c r="BB53" i="2"/>
  <c r="BB37" i="2"/>
  <c r="BB21" i="2"/>
  <c r="BC66" i="2"/>
  <c r="BC50" i="2"/>
  <c r="BC34" i="2"/>
  <c r="BC18" i="2"/>
  <c r="BB52" i="2"/>
  <c r="BB36" i="2"/>
  <c r="BB20" i="2"/>
  <c r="BC65" i="2"/>
  <c r="BC49" i="2"/>
  <c r="BC33" i="2"/>
  <c r="BC17" i="2"/>
  <c r="BF7" i="2"/>
  <c r="BB67" i="2"/>
  <c r="BB51" i="2"/>
  <c r="BB35" i="2"/>
  <c r="BB19" i="2"/>
  <c r="BC64" i="2"/>
  <c r="BC48" i="2"/>
  <c r="BC32" i="2"/>
  <c r="BC16" i="2"/>
  <c r="BG7" i="2"/>
  <c r="BB66" i="2"/>
  <c r="BB50" i="2"/>
  <c r="BB34" i="2"/>
  <c r="BB18" i="2"/>
  <c r="BC63" i="2"/>
  <c r="BC47" i="2"/>
  <c r="BC31" i="2"/>
  <c r="BC15" i="2"/>
  <c r="BB65" i="2"/>
  <c r="BB49" i="2"/>
  <c r="BB33" i="2"/>
  <c r="BC62" i="2"/>
  <c r="BC46" i="2"/>
  <c r="BC30" i="2"/>
  <c r="BC14" i="2"/>
  <c r="AK63" i="2"/>
  <c r="AK47" i="2"/>
  <c r="AK31" i="2"/>
  <c r="AK15" i="2"/>
  <c r="AL64" i="2"/>
  <c r="AL48" i="2"/>
  <c r="AL32" i="2"/>
  <c r="AL16" i="2"/>
  <c r="AK62" i="2"/>
  <c r="AK46" i="2"/>
  <c r="AK30" i="2"/>
  <c r="AK14" i="2"/>
  <c r="AL57" i="2"/>
  <c r="AL41" i="2"/>
  <c r="AL25" i="2"/>
  <c r="AL9" i="2"/>
  <c r="AK61" i="2"/>
  <c r="AK45" i="2"/>
  <c r="AK29" i="2"/>
  <c r="AK13" i="2"/>
  <c r="AL66" i="2"/>
  <c r="AL50" i="2"/>
  <c r="AL34" i="2"/>
  <c r="AL18" i="2"/>
  <c r="AK60" i="2"/>
  <c r="AK44" i="2"/>
  <c r="AK28" i="2"/>
  <c r="AK12" i="2"/>
  <c r="AL59" i="2"/>
  <c r="AL43" i="2"/>
  <c r="AL27" i="2"/>
  <c r="AL11" i="2"/>
  <c r="AK59" i="2"/>
  <c r="AK43" i="2"/>
  <c r="AK27" i="2"/>
  <c r="AK11" i="2"/>
  <c r="AL52" i="2"/>
  <c r="AL36" i="2"/>
  <c r="AL20" i="2"/>
  <c r="AK58" i="2"/>
  <c r="AK42" i="2"/>
  <c r="AK26" i="2"/>
  <c r="AK10" i="2"/>
  <c r="AL61" i="2"/>
  <c r="AL45" i="2"/>
  <c r="AL29" i="2"/>
  <c r="AL13" i="2"/>
  <c r="AK57" i="2"/>
  <c r="AK41" i="2"/>
  <c r="AK25" i="2"/>
  <c r="AL54" i="2"/>
  <c r="AL38" i="2"/>
  <c r="AL22" i="2"/>
  <c r="AM7" i="2"/>
  <c r="AK56" i="2"/>
  <c r="AK40" i="2"/>
  <c r="AK24" i="2"/>
  <c r="AL8" i="2"/>
  <c r="AL63" i="2"/>
  <c r="AL47" i="2"/>
  <c r="AL31" i="2"/>
  <c r="AL15" i="2"/>
  <c r="AK55" i="2"/>
  <c r="AK39" i="2"/>
  <c r="AK23" i="2"/>
  <c r="AL56" i="2"/>
  <c r="AL40" i="2"/>
  <c r="AL24" i="2"/>
  <c r="AK54" i="2"/>
  <c r="AK38" i="2"/>
  <c r="AK22" i="2"/>
  <c r="AL65" i="2"/>
  <c r="AL49" i="2"/>
  <c r="AL33" i="2"/>
  <c r="AL17" i="2"/>
  <c r="AK8" i="2"/>
  <c r="AK53" i="2"/>
  <c r="AK37" i="2"/>
  <c r="AK21" i="2"/>
  <c r="AL58" i="2"/>
  <c r="AL42" i="2"/>
  <c r="AL26" i="2"/>
  <c r="AL10" i="2"/>
  <c r="AK52" i="2"/>
  <c r="AK36" i="2"/>
  <c r="AK20" i="2"/>
  <c r="AL51" i="2"/>
  <c r="AL35" i="2"/>
  <c r="AL19" i="2"/>
  <c r="AK51" i="2"/>
  <c r="AK35" i="2"/>
  <c r="AK19" i="2"/>
  <c r="AL60" i="2"/>
  <c r="AL44" i="2"/>
  <c r="AL28" i="2"/>
  <c r="AL12" i="2"/>
  <c r="AK66" i="2"/>
  <c r="AK50" i="2"/>
  <c r="AK34" i="2"/>
  <c r="AK18" i="2"/>
  <c r="AL53" i="2"/>
  <c r="AL37" i="2"/>
  <c r="AL21" i="2"/>
  <c r="AK65" i="2"/>
  <c r="AK49" i="2"/>
  <c r="AK33" i="2"/>
  <c r="AK17" i="2"/>
  <c r="AL62" i="2"/>
  <c r="AL46" i="2"/>
  <c r="AL30" i="2"/>
  <c r="AL14" i="2"/>
  <c r="E7" i="2"/>
  <c r="E32" i="2" s="1"/>
  <c r="L8" i="2"/>
  <c r="L30" i="2" s="1"/>
  <c r="E22" i="2"/>
  <c r="E23" i="2"/>
  <c r="E30" i="2"/>
  <c r="E15" i="2"/>
  <c r="E31" i="2"/>
  <c r="E16" i="2"/>
  <c r="I7" i="2"/>
  <c r="D22" i="2"/>
  <c r="D8" i="2"/>
  <c r="D21" i="2"/>
  <c r="C9" i="2"/>
  <c r="J7" i="2"/>
  <c r="D36" i="2"/>
  <c r="D20" i="2"/>
  <c r="D23" i="2"/>
  <c r="D33" i="2"/>
  <c r="D17" i="2"/>
  <c r="D34" i="2"/>
  <c r="D32" i="2"/>
  <c r="D16" i="2"/>
  <c r="D31" i="2"/>
  <c r="D15" i="2"/>
  <c r="D35" i="2"/>
  <c r="D18" i="2"/>
  <c r="D30" i="2"/>
  <c r="D14" i="2"/>
  <c r="H7" i="2"/>
  <c r="D19" i="2"/>
  <c r="D29" i="2"/>
  <c r="D13" i="2"/>
  <c r="D28" i="2"/>
  <c r="D12" i="2"/>
  <c r="G7" i="2"/>
  <c r="D27" i="2"/>
  <c r="D11" i="2"/>
  <c r="D26" i="2"/>
  <c r="D10" i="2"/>
  <c r="F7" i="2"/>
  <c r="D25" i="2"/>
  <c r="D9" i="2"/>
  <c r="BD7" i="2"/>
  <c r="AO7" i="2"/>
  <c r="AQ7" i="2"/>
  <c r="AP7" i="2"/>
  <c r="AR7" i="2"/>
  <c r="X7" i="2"/>
  <c r="W7" i="2"/>
  <c r="Y7" i="2"/>
  <c r="Z7" i="2"/>
  <c r="AA7" i="2"/>
  <c r="I26" i="2"/>
  <c r="C24" i="2"/>
  <c r="C23" i="2"/>
  <c r="C22" i="2"/>
  <c r="C8" i="2"/>
  <c r="C21" i="2"/>
  <c r="C36" i="2"/>
  <c r="C20" i="2"/>
  <c r="C35" i="2"/>
  <c r="C19" i="2"/>
  <c r="C34" i="2"/>
  <c r="C18" i="2"/>
  <c r="C33" i="2"/>
  <c r="C17" i="2"/>
  <c r="C32" i="2"/>
  <c r="C16" i="2"/>
  <c r="C31" i="2"/>
  <c r="C15" i="2"/>
  <c r="C30" i="2"/>
  <c r="C14" i="2"/>
  <c r="C29" i="2"/>
  <c r="C13" i="2"/>
  <c r="C28" i="2"/>
  <c r="C12" i="2"/>
  <c r="C27" i="2"/>
  <c r="C11" i="2"/>
  <c r="C26" i="2"/>
  <c r="C10" i="2"/>
  <c r="C25" i="2"/>
  <c r="BG73" i="2" l="1"/>
  <c r="BG89" i="2"/>
  <c r="BG105" i="2"/>
  <c r="BG121" i="2"/>
  <c r="BG137" i="2"/>
  <c r="BG153" i="2"/>
  <c r="BG157" i="2"/>
  <c r="BG102" i="2"/>
  <c r="BG76" i="2"/>
  <c r="BG92" i="2"/>
  <c r="BG108" i="2"/>
  <c r="BG124" i="2"/>
  <c r="BG140" i="2"/>
  <c r="BG156" i="2"/>
  <c r="BG86" i="2"/>
  <c r="BG69" i="2"/>
  <c r="BG79" i="2"/>
  <c r="BG95" i="2"/>
  <c r="BG111" i="2"/>
  <c r="BG127" i="2"/>
  <c r="BG143" i="2"/>
  <c r="BG133" i="2"/>
  <c r="BG82" i="2"/>
  <c r="BG98" i="2"/>
  <c r="BG114" i="2"/>
  <c r="BG130" i="2"/>
  <c r="BG146" i="2"/>
  <c r="BG85" i="2"/>
  <c r="BG101" i="2"/>
  <c r="BG117" i="2"/>
  <c r="BG149" i="2"/>
  <c r="BG141" i="2"/>
  <c r="BG72" i="2"/>
  <c r="BG88" i="2"/>
  <c r="BG104" i="2"/>
  <c r="BG120" i="2"/>
  <c r="BG136" i="2"/>
  <c r="BG152" i="2"/>
  <c r="BG154" i="2"/>
  <c r="BG68" i="2"/>
  <c r="BG75" i="2"/>
  <c r="BG91" i="2"/>
  <c r="BG107" i="2"/>
  <c r="BG123" i="2"/>
  <c r="BG139" i="2"/>
  <c r="BG155" i="2"/>
  <c r="BG78" i="2"/>
  <c r="BG94" i="2"/>
  <c r="BG110" i="2"/>
  <c r="BG126" i="2"/>
  <c r="BG142" i="2"/>
  <c r="BG81" i="2"/>
  <c r="BG97" i="2"/>
  <c r="BG113" i="2"/>
  <c r="BG129" i="2"/>
  <c r="BG145" i="2"/>
  <c r="BG135" i="2"/>
  <c r="BG150" i="2"/>
  <c r="BG84" i="2"/>
  <c r="BG100" i="2"/>
  <c r="BG116" i="2"/>
  <c r="BG132" i="2"/>
  <c r="BG148" i="2"/>
  <c r="BG71" i="2"/>
  <c r="BG87" i="2"/>
  <c r="BG103" i="2"/>
  <c r="BG119" i="2"/>
  <c r="BG151" i="2"/>
  <c r="BG125" i="2"/>
  <c r="BG74" i="2"/>
  <c r="BG90" i="2"/>
  <c r="BG106" i="2"/>
  <c r="BG122" i="2"/>
  <c r="BG138" i="2"/>
  <c r="BG77" i="2"/>
  <c r="BG93" i="2"/>
  <c r="BG109" i="2"/>
  <c r="BG118" i="2"/>
  <c r="BG80" i="2"/>
  <c r="BG96" i="2"/>
  <c r="BG112" i="2"/>
  <c r="BG128" i="2"/>
  <c r="BG144" i="2"/>
  <c r="BG134" i="2"/>
  <c r="BG70" i="2"/>
  <c r="BG83" i="2"/>
  <c r="BG99" i="2"/>
  <c r="BG115" i="2"/>
  <c r="BG131" i="2"/>
  <c r="BG147" i="2"/>
  <c r="BD82" i="2"/>
  <c r="BD98" i="2"/>
  <c r="BD114" i="2"/>
  <c r="BD130" i="2"/>
  <c r="BD146" i="2"/>
  <c r="BD143" i="2"/>
  <c r="BD85" i="2"/>
  <c r="BD101" i="2"/>
  <c r="BD117" i="2"/>
  <c r="BD133" i="2"/>
  <c r="BD149" i="2"/>
  <c r="BD152" i="2"/>
  <c r="BD72" i="2"/>
  <c r="BD88" i="2"/>
  <c r="BD104" i="2"/>
  <c r="BD120" i="2"/>
  <c r="BD136" i="2"/>
  <c r="BD95" i="2"/>
  <c r="BD68" i="2"/>
  <c r="BD75" i="2"/>
  <c r="BD91" i="2"/>
  <c r="BD107" i="2"/>
  <c r="BD123" i="2"/>
  <c r="BD139" i="2"/>
  <c r="BD155" i="2"/>
  <c r="BD126" i="2"/>
  <c r="BD142" i="2"/>
  <c r="BD111" i="2"/>
  <c r="BD78" i="2"/>
  <c r="BD94" i="2"/>
  <c r="BD110" i="2"/>
  <c r="BD81" i="2"/>
  <c r="BD97" i="2"/>
  <c r="BD113" i="2"/>
  <c r="BD129" i="2"/>
  <c r="BD145" i="2"/>
  <c r="BD148" i="2"/>
  <c r="BD84" i="2"/>
  <c r="BD100" i="2"/>
  <c r="BD116" i="2"/>
  <c r="BD132" i="2"/>
  <c r="BD150" i="2"/>
  <c r="BD71" i="2"/>
  <c r="BD87" i="2"/>
  <c r="BD103" i="2"/>
  <c r="BD119" i="2"/>
  <c r="BD135" i="2"/>
  <c r="BD151" i="2"/>
  <c r="BD118" i="2"/>
  <c r="BD74" i="2"/>
  <c r="BD90" i="2"/>
  <c r="BD106" i="2"/>
  <c r="BD122" i="2"/>
  <c r="BD138" i="2"/>
  <c r="BD154" i="2"/>
  <c r="BD77" i="2"/>
  <c r="BD93" i="2"/>
  <c r="BD109" i="2"/>
  <c r="BD125" i="2"/>
  <c r="BD141" i="2"/>
  <c r="BD157" i="2"/>
  <c r="BD127" i="2"/>
  <c r="BD80" i="2"/>
  <c r="BD96" i="2"/>
  <c r="BD112" i="2"/>
  <c r="BD128" i="2"/>
  <c r="BD144" i="2"/>
  <c r="BD147" i="2"/>
  <c r="BD70" i="2"/>
  <c r="BD83" i="2"/>
  <c r="BD99" i="2"/>
  <c r="BD115" i="2"/>
  <c r="BD131" i="2"/>
  <c r="BD86" i="2"/>
  <c r="BD102" i="2"/>
  <c r="BD134" i="2"/>
  <c r="BD73" i="2"/>
  <c r="BD89" i="2"/>
  <c r="BD105" i="2"/>
  <c r="BD121" i="2"/>
  <c r="BD137" i="2"/>
  <c r="BD153" i="2"/>
  <c r="BD69" i="2"/>
  <c r="BD79" i="2"/>
  <c r="BD76" i="2"/>
  <c r="BD92" i="2"/>
  <c r="BD108" i="2"/>
  <c r="BD124" i="2"/>
  <c r="BD140" i="2"/>
  <c r="BD156" i="2"/>
  <c r="BE10" i="2"/>
  <c r="BE69" i="2"/>
  <c r="BE79" i="2"/>
  <c r="BE95" i="2"/>
  <c r="BE111" i="2"/>
  <c r="BE127" i="2"/>
  <c r="BE143" i="2"/>
  <c r="BE82" i="2"/>
  <c r="BE98" i="2"/>
  <c r="BE114" i="2"/>
  <c r="BE130" i="2"/>
  <c r="BE146" i="2"/>
  <c r="BE139" i="2"/>
  <c r="BE155" i="2"/>
  <c r="BE140" i="2"/>
  <c r="BE156" i="2"/>
  <c r="BE85" i="2"/>
  <c r="BE101" i="2"/>
  <c r="BE117" i="2"/>
  <c r="BE133" i="2"/>
  <c r="BE149" i="2"/>
  <c r="BE72" i="2"/>
  <c r="BE88" i="2"/>
  <c r="BE104" i="2"/>
  <c r="BE120" i="2"/>
  <c r="BE136" i="2"/>
  <c r="BE152" i="2"/>
  <c r="BE131" i="2"/>
  <c r="BE68" i="2"/>
  <c r="BE75" i="2"/>
  <c r="BE91" i="2"/>
  <c r="BE107" i="2"/>
  <c r="BE123" i="2"/>
  <c r="BE124" i="2"/>
  <c r="BE78" i="2"/>
  <c r="BE94" i="2"/>
  <c r="BE110" i="2"/>
  <c r="BE126" i="2"/>
  <c r="BE142" i="2"/>
  <c r="BE81" i="2"/>
  <c r="BE97" i="2"/>
  <c r="BE113" i="2"/>
  <c r="BE129" i="2"/>
  <c r="BE145" i="2"/>
  <c r="BE84" i="2"/>
  <c r="BE100" i="2"/>
  <c r="BE116" i="2"/>
  <c r="BE132" i="2"/>
  <c r="BE148" i="2"/>
  <c r="BE71" i="2"/>
  <c r="BE87" i="2"/>
  <c r="BE103" i="2"/>
  <c r="BE119" i="2"/>
  <c r="BE135" i="2"/>
  <c r="BE151" i="2"/>
  <c r="BE108" i="2"/>
  <c r="BE74" i="2"/>
  <c r="BE90" i="2"/>
  <c r="BE106" i="2"/>
  <c r="BE122" i="2"/>
  <c r="BE138" i="2"/>
  <c r="BE154" i="2"/>
  <c r="BE141" i="2"/>
  <c r="BE147" i="2"/>
  <c r="BE77" i="2"/>
  <c r="BE93" i="2"/>
  <c r="BE109" i="2"/>
  <c r="BE125" i="2"/>
  <c r="BE157" i="2"/>
  <c r="BE80" i="2"/>
  <c r="BE96" i="2"/>
  <c r="BE112" i="2"/>
  <c r="BE128" i="2"/>
  <c r="BE144" i="2"/>
  <c r="BE70" i="2"/>
  <c r="BE83" i="2"/>
  <c r="BE99" i="2"/>
  <c r="BE115" i="2"/>
  <c r="BE86" i="2"/>
  <c r="BE102" i="2"/>
  <c r="BE118" i="2"/>
  <c r="BE134" i="2"/>
  <c r="BE150" i="2"/>
  <c r="BE76" i="2"/>
  <c r="BE92" i="2"/>
  <c r="BE73" i="2"/>
  <c r="BE89" i="2"/>
  <c r="BE105" i="2"/>
  <c r="BE121" i="2"/>
  <c r="BE137" i="2"/>
  <c r="BE153" i="2"/>
  <c r="BF76" i="2"/>
  <c r="BF92" i="2"/>
  <c r="BF108" i="2"/>
  <c r="BF124" i="2"/>
  <c r="BF140" i="2"/>
  <c r="BF156" i="2"/>
  <c r="BF69" i="2"/>
  <c r="BF79" i="2"/>
  <c r="BF95" i="2"/>
  <c r="BF111" i="2"/>
  <c r="BF127" i="2"/>
  <c r="BF143" i="2"/>
  <c r="BF146" i="2"/>
  <c r="BF136" i="2"/>
  <c r="BF128" i="2"/>
  <c r="BF105" i="2"/>
  <c r="BF82" i="2"/>
  <c r="BF98" i="2"/>
  <c r="BF114" i="2"/>
  <c r="BF130" i="2"/>
  <c r="BF152" i="2"/>
  <c r="BF85" i="2"/>
  <c r="BF101" i="2"/>
  <c r="BF117" i="2"/>
  <c r="BF133" i="2"/>
  <c r="BF149" i="2"/>
  <c r="BF72" i="2"/>
  <c r="BF88" i="2"/>
  <c r="BF104" i="2"/>
  <c r="BF120" i="2"/>
  <c r="BF68" i="2"/>
  <c r="BF75" i="2"/>
  <c r="BF91" i="2"/>
  <c r="BF107" i="2"/>
  <c r="BF123" i="2"/>
  <c r="BF139" i="2"/>
  <c r="BF155" i="2"/>
  <c r="BF78" i="2"/>
  <c r="BF94" i="2"/>
  <c r="BF110" i="2"/>
  <c r="BF126" i="2"/>
  <c r="BF142" i="2"/>
  <c r="BF81" i="2"/>
  <c r="BF97" i="2"/>
  <c r="BF113" i="2"/>
  <c r="BF129" i="2"/>
  <c r="BF145" i="2"/>
  <c r="BF84" i="2"/>
  <c r="BF100" i="2"/>
  <c r="BF116" i="2"/>
  <c r="BF132" i="2"/>
  <c r="BF148" i="2"/>
  <c r="BF122" i="2"/>
  <c r="BF154" i="2"/>
  <c r="BF144" i="2"/>
  <c r="BF71" i="2"/>
  <c r="BF87" i="2"/>
  <c r="BF103" i="2"/>
  <c r="BF119" i="2"/>
  <c r="BF135" i="2"/>
  <c r="BF151" i="2"/>
  <c r="BF138" i="2"/>
  <c r="BF157" i="2"/>
  <c r="BF137" i="2"/>
  <c r="BF74" i="2"/>
  <c r="BF90" i="2"/>
  <c r="BF106" i="2"/>
  <c r="BF77" i="2"/>
  <c r="BF93" i="2"/>
  <c r="BF109" i="2"/>
  <c r="BF125" i="2"/>
  <c r="BF141" i="2"/>
  <c r="BF121" i="2"/>
  <c r="BF80" i="2"/>
  <c r="BF96" i="2"/>
  <c r="BF112" i="2"/>
  <c r="BF70" i="2"/>
  <c r="BF83" i="2"/>
  <c r="BF99" i="2"/>
  <c r="BF115" i="2"/>
  <c r="BF131" i="2"/>
  <c r="BF147" i="2"/>
  <c r="BF73" i="2"/>
  <c r="BF89" i="2"/>
  <c r="BF153" i="2"/>
  <c r="BF86" i="2"/>
  <c r="BF102" i="2"/>
  <c r="BF118" i="2"/>
  <c r="BF134" i="2"/>
  <c r="BF150" i="2"/>
  <c r="BH86" i="2"/>
  <c r="BH102" i="2"/>
  <c r="BH118" i="2"/>
  <c r="BH134" i="2"/>
  <c r="BH150" i="2"/>
  <c r="BH73" i="2"/>
  <c r="BH89" i="2"/>
  <c r="BH105" i="2"/>
  <c r="BH121" i="2"/>
  <c r="BH137" i="2"/>
  <c r="BH153" i="2"/>
  <c r="BH146" i="2"/>
  <c r="BH138" i="2"/>
  <c r="BH154" i="2"/>
  <c r="BH147" i="2"/>
  <c r="BH76" i="2"/>
  <c r="BH92" i="2"/>
  <c r="BH108" i="2"/>
  <c r="BH124" i="2"/>
  <c r="BH140" i="2"/>
  <c r="BH156" i="2"/>
  <c r="BH69" i="2"/>
  <c r="BH79" i="2"/>
  <c r="BH95" i="2"/>
  <c r="BH111" i="2"/>
  <c r="BH127" i="2"/>
  <c r="BH143" i="2"/>
  <c r="BH114" i="2"/>
  <c r="BH130" i="2"/>
  <c r="BH82" i="2"/>
  <c r="BH98" i="2"/>
  <c r="BH85" i="2"/>
  <c r="BH101" i="2"/>
  <c r="BH117" i="2"/>
  <c r="BH133" i="2"/>
  <c r="BH149" i="2"/>
  <c r="BH136" i="2"/>
  <c r="BH99" i="2"/>
  <c r="BH72" i="2"/>
  <c r="BH88" i="2"/>
  <c r="BH104" i="2"/>
  <c r="BH120" i="2"/>
  <c r="BH152" i="2"/>
  <c r="BH68" i="2"/>
  <c r="BH75" i="2"/>
  <c r="BH91" i="2"/>
  <c r="BH107" i="2"/>
  <c r="BH123" i="2"/>
  <c r="BH139" i="2"/>
  <c r="BH155" i="2"/>
  <c r="BH78" i="2"/>
  <c r="BH94" i="2"/>
  <c r="BH110" i="2"/>
  <c r="BH126" i="2"/>
  <c r="BH142" i="2"/>
  <c r="BH148" i="2"/>
  <c r="BH81" i="2"/>
  <c r="BH97" i="2"/>
  <c r="BH113" i="2"/>
  <c r="BH129" i="2"/>
  <c r="BH145" i="2"/>
  <c r="BH151" i="2"/>
  <c r="BH84" i="2"/>
  <c r="BH100" i="2"/>
  <c r="BH116" i="2"/>
  <c r="BH132" i="2"/>
  <c r="BH71" i="2"/>
  <c r="BH87" i="2"/>
  <c r="BH103" i="2"/>
  <c r="BH119" i="2"/>
  <c r="BH135" i="2"/>
  <c r="BH74" i="2"/>
  <c r="BH90" i="2"/>
  <c r="BH106" i="2"/>
  <c r="BH122" i="2"/>
  <c r="BH77" i="2"/>
  <c r="BH93" i="2"/>
  <c r="BH109" i="2"/>
  <c r="BH125" i="2"/>
  <c r="BH141" i="2"/>
  <c r="BH157" i="2"/>
  <c r="BH70" i="2"/>
  <c r="BH115" i="2"/>
  <c r="BH80" i="2"/>
  <c r="BH96" i="2"/>
  <c r="BH112" i="2"/>
  <c r="BH128" i="2"/>
  <c r="BH144" i="2"/>
  <c r="BH83" i="2"/>
  <c r="BH131" i="2"/>
  <c r="BM8" i="2"/>
  <c r="BM67" i="2" s="1"/>
  <c r="BK80" i="2"/>
  <c r="BK96" i="2"/>
  <c r="BK112" i="2"/>
  <c r="BK128" i="2"/>
  <c r="BK144" i="2"/>
  <c r="BK83" i="2"/>
  <c r="BK99" i="2"/>
  <c r="BK115" i="2"/>
  <c r="BK131" i="2"/>
  <c r="BK147" i="2"/>
  <c r="BK150" i="2"/>
  <c r="BK156" i="2"/>
  <c r="BK70" i="2"/>
  <c r="BK86" i="2"/>
  <c r="BK102" i="2"/>
  <c r="BK118" i="2"/>
  <c r="BK134" i="2"/>
  <c r="BK73" i="2"/>
  <c r="BK89" i="2"/>
  <c r="BK105" i="2"/>
  <c r="BK121" i="2"/>
  <c r="BK137" i="2"/>
  <c r="BK153" i="2"/>
  <c r="BK76" i="2"/>
  <c r="BK92" i="2"/>
  <c r="BK108" i="2"/>
  <c r="BK124" i="2"/>
  <c r="BK140" i="2"/>
  <c r="BK79" i="2"/>
  <c r="BK95" i="2"/>
  <c r="BK111" i="2"/>
  <c r="BK127" i="2"/>
  <c r="BK143" i="2"/>
  <c r="BK69" i="2"/>
  <c r="BK82" i="2"/>
  <c r="BK98" i="2"/>
  <c r="BK114" i="2"/>
  <c r="BK130" i="2"/>
  <c r="BK146" i="2"/>
  <c r="BK85" i="2"/>
  <c r="BK101" i="2"/>
  <c r="BK117" i="2"/>
  <c r="BK133" i="2"/>
  <c r="BK149" i="2"/>
  <c r="BK148" i="2"/>
  <c r="BK72" i="2"/>
  <c r="BK88" i="2"/>
  <c r="BK104" i="2"/>
  <c r="BK120" i="2"/>
  <c r="BK136" i="2"/>
  <c r="BK152" i="2"/>
  <c r="BK142" i="2"/>
  <c r="BK75" i="2"/>
  <c r="BK91" i="2"/>
  <c r="BK107" i="2"/>
  <c r="BK123" i="2"/>
  <c r="BK139" i="2"/>
  <c r="BK155" i="2"/>
  <c r="BK145" i="2"/>
  <c r="BK109" i="2"/>
  <c r="BK157" i="2"/>
  <c r="BK68" i="2"/>
  <c r="BK78" i="2"/>
  <c r="BK94" i="2"/>
  <c r="BK110" i="2"/>
  <c r="BK126" i="2"/>
  <c r="BK81" i="2"/>
  <c r="BK97" i="2"/>
  <c r="BK113" i="2"/>
  <c r="BK129" i="2"/>
  <c r="BK132" i="2"/>
  <c r="BK84" i="2"/>
  <c r="BK100" i="2"/>
  <c r="BK116" i="2"/>
  <c r="BK71" i="2"/>
  <c r="BK87" i="2"/>
  <c r="BK103" i="2"/>
  <c r="BK119" i="2"/>
  <c r="BK135" i="2"/>
  <c r="BK151" i="2"/>
  <c r="BK77" i="2"/>
  <c r="BK93" i="2"/>
  <c r="BK125" i="2"/>
  <c r="BK74" i="2"/>
  <c r="BK90" i="2"/>
  <c r="BK106" i="2"/>
  <c r="BK122" i="2"/>
  <c r="BK138" i="2"/>
  <c r="BK154" i="2"/>
  <c r="BK141" i="2"/>
  <c r="BE64" i="2"/>
  <c r="AR143" i="2"/>
  <c r="AR147" i="2"/>
  <c r="AR151" i="2"/>
  <c r="AR155" i="2"/>
  <c r="AR123" i="2"/>
  <c r="AR127" i="2"/>
  <c r="AR141" i="2"/>
  <c r="AR144" i="2"/>
  <c r="AR148" i="2"/>
  <c r="AR152" i="2"/>
  <c r="AR156" i="2"/>
  <c r="AR124" i="2"/>
  <c r="AR128" i="2"/>
  <c r="AR132" i="2"/>
  <c r="AR136" i="2"/>
  <c r="AR140" i="2"/>
  <c r="AR125" i="2"/>
  <c r="AR103" i="2"/>
  <c r="AR113" i="2"/>
  <c r="AR118" i="2"/>
  <c r="AR82" i="2"/>
  <c r="AR93" i="2"/>
  <c r="AR145" i="2"/>
  <c r="AR131" i="2"/>
  <c r="AR139" i="2"/>
  <c r="AR77" i="2"/>
  <c r="AR120" i="2"/>
  <c r="AR134" i="2"/>
  <c r="AR98" i="2"/>
  <c r="AR115" i="2"/>
  <c r="AR89" i="2"/>
  <c r="AR110" i="2"/>
  <c r="AR129" i="2"/>
  <c r="AR112" i="2"/>
  <c r="AR107" i="2"/>
  <c r="AR90" i="2"/>
  <c r="AR79" i="2"/>
  <c r="AR142" i="2"/>
  <c r="AR149" i="2"/>
  <c r="AR68" i="2"/>
  <c r="AR70" i="2"/>
  <c r="AR75" i="2"/>
  <c r="AR100" i="2"/>
  <c r="AR80" i="2"/>
  <c r="AR91" i="2"/>
  <c r="AR105" i="2"/>
  <c r="AR137" i="2"/>
  <c r="AR87" i="2"/>
  <c r="AR95" i="2"/>
  <c r="AR117" i="2"/>
  <c r="AR146" i="2"/>
  <c r="AR126" i="2"/>
  <c r="AR150" i="2"/>
  <c r="AR153" i="2"/>
  <c r="AR73" i="2"/>
  <c r="AR85" i="2"/>
  <c r="AR78" i="2"/>
  <c r="AR92" i="2"/>
  <c r="AR121" i="2"/>
  <c r="AR96" i="2"/>
  <c r="AR71" i="2"/>
  <c r="AR97" i="2"/>
  <c r="AR102" i="2"/>
  <c r="AR119" i="2"/>
  <c r="AR76" i="2"/>
  <c r="AR83" i="2"/>
  <c r="AR104" i="2"/>
  <c r="AR88" i="2"/>
  <c r="AR111" i="2"/>
  <c r="AR135" i="2"/>
  <c r="AR154" i="2"/>
  <c r="AR130" i="2"/>
  <c r="AR138" i="2"/>
  <c r="AR99" i="2"/>
  <c r="AR109" i="2"/>
  <c r="AR114" i="2"/>
  <c r="AR157" i="2"/>
  <c r="AR69" i="2"/>
  <c r="AR116" i="2"/>
  <c r="AR81" i="2"/>
  <c r="AR74" i="2"/>
  <c r="AR133" i="2"/>
  <c r="AR67" i="2"/>
  <c r="AR106" i="2"/>
  <c r="AR108" i="2"/>
  <c r="AR101" i="2"/>
  <c r="AR122" i="2"/>
  <c r="AR84" i="2"/>
  <c r="AR72" i="2"/>
  <c r="AR94" i="2"/>
  <c r="AR86" i="2"/>
  <c r="AP142" i="2"/>
  <c r="AP146" i="2"/>
  <c r="AP150" i="2"/>
  <c r="AP154" i="2"/>
  <c r="AP122" i="2"/>
  <c r="AP126" i="2"/>
  <c r="AP130" i="2"/>
  <c r="AP134" i="2"/>
  <c r="AP138" i="2"/>
  <c r="AP68" i="2"/>
  <c r="AP72" i="2"/>
  <c r="AP76" i="2"/>
  <c r="AP80" i="2"/>
  <c r="AP84" i="2"/>
  <c r="AP88" i="2"/>
  <c r="AP92" i="2"/>
  <c r="AP96" i="2"/>
  <c r="AP100" i="2"/>
  <c r="AP104" i="2"/>
  <c r="AP108" i="2"/>
  <c r="AP112" i="2"/>
  <c r="AP116" i="2"/>
  <c r="AP120" i="2"/>
  <c r="AP125" i="2"/>
  <c r="AP129" i="2"/>
  <c r="AP133" i="2"/>
  <c r="AP137" i="2"/>
  <c r="AP67" i="2"/>
  <c r="AP71" i="2"/>
  <c r="AP75" i="2"/>
  <c r="AP79" i="2"/>
  <c r="AP83" i="2"/>
  <c r="AP141" i="2"/>
  <c r="AP145" i="2"/>
  <c r="AP149" i="2"/>
  <c r="AP153" i="2"/>
  <c r="AP157" i="2"/>
  <c r="AP143" i="2"/>
  <c r="AP147" i="2"/>
  <c r="AP151" i="2"/>
  <c r="AP155" i="2"/>
  <c r="AP123" i="2"/>
  <c r="AP127" i="2"/>
  <c r="AP131" i="2"/>
  <c r="AP135" i="2"/>
  <c r="AP139" i="2"/>
  <c r="AP69" i="2"/>
  <c r="AP73" i="2"/>
  <c r="AP77" i="2"/>
  <c r="AP81" i="2"/>
  <c r="AP85" i="2"/>
  <c r="AP89" i="2"/>
  <c r="AP93" i="2"/>
  <c r="AP128" i="2"/>
  <c r="AP98" i="2"/>
  <c r="AP115" i="2"/>
  <c r="AP107" i="2"/>
  <c r="AP152" i="2"/>
  <c r="AP70" i="2"/>
  <c r="AP82" i="2"/>
  <c r="AP91" i="2"/>
  <c r="AP110" i="2"/>
  <c r="AP102" i="2"/>
  <c r="AP119" i="2"/>
  <c r="AP87" i="2"/>
  <c r="AP95" i="2"/>
  <c r="AP105" i="2"/>
  <c r="AP117" i="2"/>
  <c r="AP156" i="2"/>
  <c r="AP132" i="2"/>
  <c r="AP140" i="2"/>
  <c r="AP78" i="2"/>
  <c r="AP97" i="2"/>
  <c r="AP109" i="2"/>
  <c r="AP124" i="2"/>
  <c r="AP99" i="2"/>
  <c r="AP114" i="2"/>
  <c r="AP121" i="2"/>
  <c r="AP111" i="2"/>
  <c r="AP90" i="2"/>
  <c r="AP94" i="2"/>
  <c r="AP106" i="2"/>
  <c r="AP101" i="2"/>
  <c r="AP74" i="2"/>
  <c r="AP144" i="2"/>
  <c r="AP86" i="2"/>
  <c r="AP113" i="2"/>
  <c r="AP118" i="2"/>
  <c r="AP136" i="2"/>
  <c r="AP103" i="2"/>
  <c r="AP148" i="2"/>
  <c r="AQ143" i="2"/>
  <c r="AQ147" i="2"/>
  <c r="AQ151" i="2"/>
  <c r="AQ155" i="2"/>
  <c r="AQ123" i="2"/>
  <c r="AQ127" i="2"/>
  <c r="AQ131" i="2"/>
  <c r="AQ135" i="2"/>
  <c r="AQ139" i="2"/>
  <c r="AQ69" i="2"/>
  <c r="AQ73" i="2"/>
  <c r="AQ77" i="2"/>
  <c r="AQ81" i="2"/>
  <c r="AQ85" i="2"/>
  <c r="AQ89" i="2"/>
  <c r="AQ93" i="2"/>
  <c r="AQ97" i="2"/>
  <c r="AQ101" i="2"/>
  <c r="AQ105" i="2"/>
  <c r="AQ109" i="2"/>
  <c r="AQ113" i="2"/>
  <c r="AQ117" i="2"/>
  <c r="AQ121" i="2"/>
  <c r="AQ154" i="2"/>
  <c r="AQ138" i="2"/>
  <c r="AQ76" i="2"/>
  <c r="AQ84" i="2"/>
  <c r="AQ134" i="2"/>
  <c r="AQ68" i="2"/>
  <c r="AQ72" i="2"/>
  <c r="AQ80" i="2"/>
  <c r="AQ88" i="2"/>
  <c r="AQ142" i="2"/>
  <c r="AQ146" i="2"/>
  <c r="AQ150" i="2"/>
  <c r="AQ122" i="2"/>
  <c r="AQ126" i="2"/>
  <c r="AQ130" i="2"/>
  <c r="AQ141" i="2"/>
  <c r="AQ144" i="2"/>
  <c r="AQ148" i="2"/>
  <c r="AQ145" i="2"/>
  <c r="AQ136" i="2"/>
  <c r="AQ120" i="2"/>
  <c r="AQ112" i="2"/>
  <c r="AQ128" i="2"/>
  <c r="AQ98" i="2"/>
  <c r="AQ115" i="2"/>
  <c r="AQ87" i="2"/>
  <c r="AQ149" i="2"/>
  <c r="AQ152" i="2"/>
  <c r="AQ70" i="2"/>
  <c r="AQ75" i="2"/>
  <c r="AQ100" i="2"/>
  <c r="AQ95" i="2"/>
  <c r="AQ153" i="2"/>
  <c r="AQ107" i="2"/>
  <c r="AQ82" i="2"/>
  <c r="AQ91" i="2"/>
  <c r="AQ110" i="2"/>
  <c r="AQ129" i="2"/>
  <c r="AQ137" i="2"/>
  <c r="AQ106" i="2"/>
  <c r="AQ156" i="2"/>
  <c r="AQ71" i="2"/>
  <c r="AQ102" i="2"/>
  <c r="AQ119" i="2"/>
  <c r="AQ99" i="2"/>
  <c r="AQ114" i="2"/>
  <c r="AQ90" i="2"/>
  <c r="AQ96" i="2"/>
  <c r="AQ132" i="2"/>
  <c r="AQ140" i="2"/>
  <c r="AQ78" i="2"/>
  <c r="AQ83" i="2"/>
  <c r="AQ104" i="2"/>
  <c r="AQ157" i="2"/>
  <c r="AQ92" i="2"/>
  <c r="AQ116" i="2"/>
  <c r="AQ111" i="2"/>
  <c r="AQ94" i="2"/>
  <c r="AQ124" i="2"/>
  <c r="AQ133" i="2"/>
  <c r="AQ67" i="2"/>
  <c r="AQ74" i="2"/>
  <c r="AQ79" i="2"/>
  <c r="AQ108" i="2"/>
  <c r="AQ103" i="2"/>
  <c r="AQ86" i="2"/>
  <c r="AQ125" i="2"/>
  <c r="AQ118" i="2"/>
  <c r="AU8" i="2"/>
  <c r="AT143" i="2"/>
  <c r="AT147" i="2"/>
  <c r="AT151" i="2"/>
  <c r="AT155" i="2"/>
  <c r="AT123" i="2"/>
  <c r="AT127" i="2"/>
  <c r="AT131" i="2"/>
  <c r="AT135" i="2"/>
  <c r="AT139" i="2"/>
  <c r="AT69" i="2"/>
  <c r="AT73" i="2"/>
  <c r="AT77" i="2"/>
  <c r="AT81" i="2"/>
  <c r="AT85" i="2"/>
  <c r="AT89" i="2"/>
  <c r="AT93" i="2"/>
  <c r="AT97" i="2"/>
  <c r="AT101" i="2"/>
  <c r="AT105" i="2"/>
  <c r="AT109" i="2"/>
  <c r="AT113" i="2"/>
  <c r="AT117" i="2"/>
  <c r="AT121" i="2"/>
  <c r="AT122" i="2"/>
  <c r="AT126" i="2"/>
  <c r="AT130" i="2"/>
  <c r="AT134" i="2"/>
  <c r="AT138" i="2"/>
  <c r="AT68" i="2"/>
  <c r="AT72" i="2"/>
  <c r="AT76" i="2"/>
  <c r="AT80" i="2"/>
  <c r="AT84" i="2"/>
  <c r="AT142" i="2"/>
  <c r="AT146" i="2"/>
  <c r="AT150" i="2"/>
  <c r="AT154" i="2"/>
  <c r="AT141" i="2"/>
  <c r="AT144" i="2"/>
  <c r="AT148" i="2"/>
  <c r="AT152" i="2"/>
  <c r="AT156" i="2"/>
  <c r="AT124" i="2"/>
  <c r="AT128" i="2"/>
  <c r="AT132" i="2"/>
  <c r="AT136" i="2"/>
  <c r="AT140" i="2"/>
  <c r="AT70" i="2"/>
  <c r="AT74" i="2"/>
  <c r="AT78" i="2"/>
  <c r="AT82" i="2"/>
  <c r="AT86" i="2"/>
  <c r="AT90" i="2"/>
  <c r="AT94" i="2"/>
  <c r="AT79" i="2"/>
  <c r="AT106" i="2"/>
  <c r="AT108" i="2"/>
  <c r="AT115" i="2"/>
  <c r="AT125" i="2"/>
  <c r="AT103" i="2"/>
  <c r="AT118" i="2"/>
  <c r="AT98" i="2"/>
  <c r="AT110" i="2"/>
  <c r="AT145" i="2"/>
  <c r="AT120" i="2"/>
  <c r="AT149" i="2"/>
  <c r="AT75" i="2"/>
  <c r="AT100" i="2"/>
  <c r="AT91" i="2"/>
  <c r="AT92" i="2"/>
  <c r="AT116" i="2"/>
  <c r="AT129" i="2"/>
  <c r="AT137" i="2"/>
  <c r="AT87" i="2"/>
  <c r="AT95" i="2"/>
  <c r="AT112" i="2"/>
  <c r="AT83" i="2"/>
  <c r="AT104" i="2"/>
  <c r="AT153" i="2"/>
  <c r="AT107" i="2"/>
  <c r="AT71" i="2"/>
  <c r="AT102" i="2"/>
  <c r="AT119" i="2"/>
  <c r="AT99" i="2"/>
  <c r="AT114" i="2"/>
  <c r="AT157" i="2"/>
  <c r="AT88" i="2"/>
  <c r="AT133" i="2"/>
  <c r="AT67" i="2"/>
  <c r="AT111" i="2"/>
  <c r="AT96" i="2"/>
  <c r="AN59" i="2"/>
  <c r="AN146" i="2"/>
  <c r="AN150" i="2"/>
  <c r="AN154" i="2"/>
  <c r="AN122" i="2"/>
  <c r="AN126" i="2"/>
  <c r="AN142" i="2"/>
  <c r="AN141" i="2"/>
  <c r="AN143" i="2"/>
  <c r="AN147" i="2"/>
  <c r="AN151" i="2"/>
  <c r="AN155" i="2"/>
  <c r="AN123" i="2"/>
  <c r="AN127" i="2"/>
  <c r="AN131" i="2"/>
  <c r="AN135" i="2"/>
  <c r="AN139" i="2"/>
  <c r="AN77" i="2"/>
  <c r="AN82" i="2"/>
  <c r="AN110" i="2"/>
  <c r="AN153" i="2"/>
  <c r="AN149" i="2"/>
  <c r="AN134" i="2"/>
  <c r="AN75" i="2"/>
  <c r="AN91" i="2"/>
  <c r="AN100" i="2"/>
  <c r="AN105" i="2"/>
  <c r="AN68" i="2"/>
  <c r="AN87" i="2"/>
  <c r="AN95" i="2"/>
  <c r="AN156" i="2"/>
  <c r="AN102" i="2"/>
  <c r="AN140" i="2"/>
  <c r="AN73" i="2"/>
  <c r="AN78" i="2"/>
  <c r="AN97" i="2"/>
  <c r="AN119" i="2"/>
  <c r="AN113" i="2"/>
  <c r="AN84" i="2"/>
  <c r="AN129" i="2"/>
  <c r="AN137" i="2"/>
  <c r="AN80" i="2"/>
  <c r="AN89" i="2"/>
  <c r="AN93" i="2"/>
  <c r="AN107" i="2"/>
  <c r="AN112" i="2"/>
  <c r="AN117" i="2"/>
  <c r="AN132" i="2"/>
  <c r="AN85" i="2"/>
  <c r="AN114" i="2"/>
  <c r="AN71" i="2"/>
  <c r="AN83" i="2"/>
  <c r="AN99" i="2"/>
  <c r="AN104" i="2"/>
  <c r="AN109" i="2"/>
  <c r="AN157" i="2"/>
  <c r="AN124" i="2"/>
  <c r="AN130" i="2"/>
  <c r="AN138" i="2"/>
  <c r="AN92" i="2"/>
  <c r="AN111" i="2"/>
  <c r="AN116" i="2"/>
  <c r="AN121" i="2"/>
  <c r="AN67" i="2"/>
  <c r="AN96" i="2"/>
  <c r="AN101" i="2"/>
  <c r="AN103" i="2"/>
  <c r="AN125" i="2"/>
  <c r="AN76" i="2"/>
  <c r="AN90" i="2"/>
  <c r="AN69" i="2"/>
  <c r="AN74" i="2"/>
  <c r="AN88" i="2"/>
  <c r="AN94" i="2"/>
  <c r="AN106" i="2"/>
  <c r="AN144" i="2"/>
  <c r="AN133" i="2"/>
  <c r="AN81" i="2"/>
  <c r="AN86" i="2"/>
  <c r="AN118" i="2"/>
  <c r="AN108" i="2"/>
  <c r="AN79" i="2"/>
  <c r="AN148" i="2"/>
  <c r="AN136" i="2"/>
  <c r="AN72" i="2"/>
  <c r="AN98" i="2"/>
  <c r="AN120" i="2"/>
  <c r="AN115" i="2"/>
  <c r="AN70" i="2"/>
  <c r="AN145" i="2"/>
  <c r="AN128" i="2"/>
  <c r="AN152" i="2"/>
  <c r="AM142" i="2"/>
  <c r="AM146" i="2"/>
  <c r="AM150" i="2"/>
  <c r="AM154" i="2"/>
  <c r="AM122" i="2"/>
  <c r="AM126" i="2"/>
  <c r="AM130" i="2"/>
  <c r="AM134" i="2"/>
  <c r="AM138" i="2"/>
  <c r="AM68" i="2"/>
  <c r="AM72" i="2"/>
  <c r="AM76" i="2"/>
  <c r="AM80" i="2"/>
  <c r="AM84" i="2"/>
  <c r="AM88" i="2"/>
  <c r="AM92" i="2"/>
  <c r="AM96" i="2"/>
  <c r="AM100" i="2"/>
  <c r="AM104" i="2"/>
  <c r="AM108" i="2"/>
  <c r="AM112" i="2"/>
  <c r="AM116" i="2"/>
  <c r="AM120" i="2"/>
  <c r="AM67" i="2"/>
  <c r="AM71" i="2"/>
  <c r="AM79" i="2"/>
  <c r="AM87" i="2"/>
  <c r="AM153" i="2"/>
  <c r="AM137" i="2"/>
  <c r="AM75" i="2"/>
  <c r="AM83" i="2"/>
  <c r="AM141" i="2"/>
  <c r="AM145" i="2"/>
  <c r="AM149" i="2"/>
  <c r="AM157" i="2"/>
  <c r="AM125" i="2"/>
  <c r="AM129" i="2"/>
  <c r="AM133" i="2"/>
  <c r="AM143" i="2"/>
  <c r="AM147" i="2"/>
  <c r="AM151" i="2"/>
  <c r="AM155" i="2"/>
  <c r="AM131" i="2"/>
  <c r="AM139" i="2"/>
  <c r="AM91" i="2"/>
  <c r="AM105" i="2"/>
  <c r="AM140" i="2"/>
  <c r="AM123" i="2"/>
  <c r="AM95" i="2"/>
  <c r="AM89" i="2"/>
  <c r="AM93" i="2"/>
  <c r="AM107" i="2"/>
  <c r="AM117" i="2"/>
  <c r="AM78" i="2"/>
  <c r="AM85" i="2"/>
  <c r="AM114" i="2"/>
  <c r="AM99" i="2"/>
  <c r="AM70" i="2"/>
  <c r="AM156" i="2"/>
  <c r="AM102" i="2"/>
  <c r="AM132" i="2"/>
  <c r="AM73" i="2"/>
  <c r="AM97" i="2"/>
  <c r="AM119" i="2"/>
  <c r="AM109" i="2"/>
  <c r="AM152" i="2"/>
  <c r="AM69" i="2"/>
  <c r="AM74" i="2"/>
  <c r="AM94" i="2"/>
  <c r="AM106" i="2"/>
  <c r="AM118" i="2"/>
  <c r="AM113" i="2"/>
  <c r="AM124" i="2"/>
  <c r="AM135" i="2"/>
  <c r="AM90" i="2"/>
  <c r="AM111" i="2"/>
  <c r="AM121" i="2"/>
  <c r="AM144" i="2"/>
  <c r="AM127" i="2"/>
  <c r="AM81" i="2"/>
  <c r="AM86" i="2"/>
  <c r="AM101" i="2"/>
  <c r="AM103" i="2"/>
  <c r="AM148" i="2"/>
  <c r="AM136" i="2"/>
  <c r="AM128" i="2"/>
  <c r="AM98" i="2"/>
  <c r="AM115" i="2"/>
  <c r="AM82" i="2"/>
  <c r="AM77" i="2"/>
  <c r="AM110" i="2"/>
  <c r="AO142" i="2"/>
  <c r="AO146" i="2"/>
  <c r="AO150" i="2"/>
  <c r="AO154" i="2"/>
  <c r="AO122" i="2"/>
  <c r="AO126" i="2"/>
  <c r="AO130" i="2"/>
  <c r="AO134" i="2"/>
  <c r="AO138" i="2"/>
  <c r="AO68" i="2"/>
  <c r="AO72" i="2"/>
  <c r="AO76" i="2"/>
  <c r="AO80" i="2"/>
  <c r="AO84" i="2"/>
  <c r="AO88" i="2"/>
  <c r="AO92" i="2"/>
  <c r="AO96" i="2"/>
  <c r="AO100" i="2"/>
  <c r="AO104" i="2"/>
  <c r="AO108" i="2"/>
  <c r="AO112" i="2"/>
  <c r="AO116" i="2"/>
  <c r="AO120" i="2"/>
  <c r="AO141" i="2"/>
  <c r="AO145" i="2"/>
  <c r="AO149" i="2"/>
  <c r="AO153" i="2"/>
  <c r="AO157" i="2"/>
  <c r="AO125" i="2"/>
  <c r="AO129" i="2"/>
  <c r="AO133" i="2"/>
  <c r="AO137" i="2"/>
  <c r="AO67" i="2"/>
  <c r="AO71" i="2"/>
  <c r="AO75" i="2"/>
  <c r="AO79" i="2"/>
  <c r="AO83" i="2"/>
  <c r="AO87" i="2"/>
  <c r="AO91" i="2"/>
  <c r="AO95" i="2"/>
  <c r="AO99" i="2"/>
  <c r="AO103" i="2"/>
  <c r="AO107" i="2"/>
  <c r="AO111" i="2"/>
  <c r="AO115" i="2"/>
  <c r="AO119" i="2"/>
  <c r="AO143" i="2"/>
  <c r="AO147" i="2"/>
  <c r="AO151" i="2"/>
  <c r="AO155" i="2"/>
  <c r="AO123" i="2"/>
  <c r="AO127" i="2"/>
  <c r="AO131" i="2"/>
  <c r="AO135" i="2"/>
  <c r="AO139" i="2"/>
  <c r="AO69" i="2"/>
  <c r="AO73" i="2"/>
  <c r="AO77" i="2"/>
  <c r="AO81" i="2"/>
  <c r="AO85" i="2"/>
  <c r="AO89" i="2"/>
  <c r="AO93" i="2"/>
  <c r="AO152" i="2"/>
  <c r="AO70" i="2"/>
  <c r="AO82" i="2"/>
  <c r="AO110" i="2"/>
  <c r="AO156" i="2"/>
  <c r="AO105" i="2"/>
  <c r="AO117" i="2"/>
  <c r="AO102" i="2"/>
  <c r="AO78" i="2"/>
  <c r="AO97" i="2"/>
  <c r="AO136" i="2"/>
  <c r="AO132" i="2"/>
  <c r="AO140" i="2"/>
  <c r="AO114" i="2"/>
  <c r="AO74" i="2"/>
  <c r="AO101" i="2"/>
  <c r="AO118" i="2"/>
  <c r="AO148" i="2"/>
  <c r="AO109" i="2"/>
  <c r="AO124" i="2"/>
  <c r="AO90" i="2"/>
  <c r="AO121" i="2"/>
  <c r="AO94" i="2"/>
  <c r="AO106" i="2"/>
  <c r="AO144" i="2"/>
  <c r="AO86" i="2"/>
  <c r="AO128" i="2"/>
  <c r="AO98" i="2"/>
  <c r="AO113" i="2"/>
  <c r="AC69" i="2"/>
  <c r="AC85" i="2"/>
  <c r="AC72" i="2"/>
  <c r="AC88" i="2"/>
  <c r="AC104" i="2"/>
  <c r="AC120" i="2"/>
  <c r="AC136" i="2"/>
  <c r="AC75" i="2"/>
  <c r="AC91" i="2"/>
  <c r="AC107" i="2"/>
  <c r="AC123" i="2"/>
  <c r="AC139" i="2"/>
  <c r="AC155" i="2"/>
  <c r="AC78" i="2"/>
  <c r="AC94" i="2"/>
  <c r="AC110" i="2"/>
  <c r="AC126" i="2"/>
  <c r="AC142" i="2"/>
  <c r="AC97" i="2"/>
  <c r="AC113" i="2"/>
  <c r="AC68" i="2"/>
  <c r="AC84" i="2"/>
  <c r="AC100" i="2"/>
  <c r="AC116" i="2"/>
  <c r="AC132" i="2"/>
  <c r="AC71" i="2"/>
  <c r="AC87" i="2"/>
  <c r="AC103" i="2"/>
  <c r="AC119" i="2"/>
  <c r="AC135" i="2"/>
  <c r="AC151" i="2"/>
  <c r="AC77" i="2"/>
  <c r="AC92" i="2"/>
  <c r="AC140" i="2"/>
  <c r="AC144" i="2"/>
  <c r="AC90" i="2"/>
  <c r="AC121" i="2"/>
  <c r="AC134" i="2"/>
  <c r="AC153" i="2"/>
  <c r="AC112" i="2"/>
  <c r="AC114" i="2"/>
  <c r="AC80" i="2"/>
  <c r="AC82" i="2"/>
  <c r="AC95" i="2"/>
  <c r="AC105" i="2"/>
  <c r="AC128" i="2"/>
  <c r="AC146" i="2"/>
  <c r="AC96" i="2"/>
  <c r="AC115" i="2"/>
  <c r="AC117" i="2"/>
  <c r="AC141" i="2"/>
  <c r="AC106" i="2"/>
  <c r="AC108" i="2"/>
  <c r="AC137" i="2"/>
  <c r="AC73" i="2"/>
  <c r="AC101" i="2"/>
  <c r="AC154" i="2"/>
  <c r="AC81" i="2"/>
  <c r="AC86" i="2"/>
  <c r="AC99" i="2"/>
  <c r="AC131" i="2"/>
  <c r="AC67" i="2"/>
  <c r="AC93" i="2"/>
  <c r="AC130" i="2"/>
  <c r="AC148" i="2"/>
  <c r="AC157" i="2"/>
  <c r="AC83" i="2"/>
  <c r="AC145" i="2"/>
  <c r="AC152" i="2"/>
  <c r="AC143" i="2"/>
  <c r="AC70" i="2"/>
  <c r="AC98" i="2"/>
  <c r="AC122" i="2"/>
  <c r="AC124" i="2"/>
  <c r="AC150" i="2"/>
  <c r="AC147" i="2"/>
  <c r="AC129" i="2"/>
  <c r="AC76" i="2"/>
  <c r="AC118" i="2"/>
  <c r="AC111" i="2"/>
  <c r="AC133" i="2"/>
  <c r="AC79" i="2"/>
  <c r="AC89" i="2"/>
  <c r="AC127" i="2"/>
  <c r="AC156" i="2"/>
  <c r="AC74" i="2"/>
  <c r="AC109" i="2"/>
  <c r="AC102" i="2"/>
  <c r="AC125" i="2"/>
  <c r="AC138" i="2"/>
  <c r="AC149" i="2"/>
  <c r="V58" i="2"/>
  <c r="V71" i="2"/>
  <c r="V87" i="2"/>
  <c r="V74" i="2"/>
  <c r="V90" i="2"/>
  <c r="V106" i="2"/>
  <c r="V122" i="2"/>
  <c r="V138" i="2"/>
  <c r="V77" i="2"/>
  <c r="V93" i="2"/>
  <c r="V109" i="2"/>
  <c r="V125" i="2"/>
  <c r="V141" i="2"/>
  <c r="V157" i="2"/>
  <c r="V80" i="2"/>
  <c r="V96" i="2"/>
  <c r="V112" i="2"/>
  <c r="V128" i="2"/>
  <c r="V144" i="2"/>
  <c r="V99" i="2"/>
  <c r="V115" i="2"/>
  <c r="V67" i="2"/>
  <c r="V83" i="2"/>
  <c r="V70" i="2"/>
  <c r="V86" i="2"/>
  <c r="V102" i="2"/>
  <c r="V118" i="2"/>
  <c r="V134" i="2"/>
  <c r="V73" i="2"/>
  <c r="V89" i="2"/>
  <c r="V105" i="2"/>
  <c r="V121" i="2"/>
  <c r="V137" i="2"/>
  <c r="V153" i="2"/>
  <c r="V85" i="2"/>
  <c r="V98" i="2"/>
  <c r="V124" i="2"/>
  <c r="V148" i="2"/>
  <c r="V156" i="2"/>
  <c r="V117" i="2"/>
  <c r="V119" i="2"/>
  <c r="V126" i="2"/>
  <c r="V150" i="2"/>
  <c r="V154" i="2"/>
  <c r="V75" i="2"/>
  <c r="V108" i="2"/>
  <c r="V110" i="2"/>
  <c r="V88" i="2"/>
  <c r="V101" i="2"/>
  <c r="V103" i="2"/>
  <c r="V139" i="2"/>
  <c r="V143" i="2"/>
  <c r="V152" i="2"/>
  <c r="V145" i="2"/>
  <c r="V111" i="2"/>
  <c r="V113" i="2"/>
  <c r="V127" i="2"/>
  <c r="V81" i="2"/>
  <c r="V104" i="2"/>
  <c r="V129" i="2"/>
  <c r="V149" i="2"/>
  <c r="V68" i="2"/>
  <c r="V79" i="2"/>
  <c r="V94" i="2"/>
  <c r="V92" i="2"/>
  <c r="V140" i="2"/>
  <c r="V78" i="2"/>
  <c r="V133" i="2"/>
  <c r="V76" i="2"/>
  <c r="V91" i="2"/>
  <c r="V120" i="2"/>
  <c r="V131" i="2"/>
  <c r="V135" i="2"/>
  <c r="V147" i="2"/>
  <c r="V123" i="2"/>
  <c r="V84" i="2"/>
  <c r="V100" i="2"/>
  <c r="V116" i="2"/>
  <c r="V130" i="2"/>
  <c r="V107" i="2"/>
  <c r="V136" i="2"/>
  <c r="V69" i="2"/>
  <c r="V132" i="2"/>
  <c r="V155" i="2"/>
  <c r="V151" i="2"/>
  <c r="V97" i="2"/>
  <c r="V146" i="2"/>
  <c r="V72" i="2"/>
  <c r="V82" i="2"/>
  <c r="V114" i="2"/>
  <c r="V95" i="2"/>
  <c r="V142" i="2"/>
  <c r="AA72" i="2"/>
  <c r="AA88" i="2"/>
  <c r="AA75" i="2"/>
  <c r="AA91" i="2"/>
  <c r="AA107" i="2"/>
  <c r="AA123" i="2"/>
  <c r="AA78" i="2"/>
  <c r="AA94" i="2"/>
  <c r="AA110" i="2"/>
  <c r="AA126" i="2"/>
  <c r="AA142" i="2"/>
  <c r="AA81" i="2"/>
  <c r="AA97" i="2"/>
  <c r="AA113" i="2"/>
  <c r="AA129" i="2"/>
  <c r="AA145" i="2"/>
  <c r="AA68" i="2"/>
  <c r="AA84" i="2"/>
  <c r="AA100" i="2"/>
  <c r="AA116" i="2"/>
  <c r="AA71" i="2"/>
  <c r="AA87" i="2"/>
  <c r="AA103" i="2"/>
  <c r="AA119" i="2"/>
  <c r="AA135" i="2"/>
  <c r="AA74" i="2"/>
  <c r="AA90" i="2"/>
  <c r="AA106" i="2"/>
  <c r="AA122" i="2"/>
  <c r="AA138" i="2"/>
  <c r="AA154" i="2"/>
  <c r="AA121" i="2"/>
  <c r="AA134" i="2"/>
  <c r="AA153" i="2"/>
  <c r="AA133" i="2"/>
  <c r="AA69" i="2"/>
  <c r="AA112" i="2"/>
  <c r="AA114" i="2"/>
  <c r="AA132" i="2"/>
  <c r="AA136" i="2"/>
  <c r="AA73" i="2"/>
  <c r="AA80" i="2"/>
  <c r="AA82" i="2"/>
  <c r="AA95" i="2"/>
  <c r="AA105" i="2"/>
  <c r="AA128" i="2"/>
  <c r="AA146" i="2"/>
  <c r="AA67" i="2"/>
  <c r="AA93" i="2"/>
  <c r="AA130" i="2"/>
  <c r="AA148" i="2"/>
  <c r="AA155" i="2"/>
  <c r="AA157" i="2"/>
  <c r="AA150" i="2"/>
  <c r="AA108" i="2"/>
  <c r="AA137" i="2"/>
  <c r="AA101" i="2"/>
  <c r="AA139" i="2"/>
  <c r="AA143" i="2"/>
  <c r="AA86" i="2"/>
  <c r="AA99" i="2"/>
  <c r="AA152" i="2"/>
  <c r="AA131" i="2"/>
  <c r="AA70" i="2"/>
  <c r="AA85" i="2"/>
  <c r="AA98" i="2"/>
  <c r="AA124" i="2"/>
  <c r="AA83" i="2"/>
  <c r="AA96" i="2"/>
  <c r="AA115" i="2"/>
  <c r="AA117" i="2"/>
  <c r="AA141" i="2"/>
  <c r="AA111" i="2"/>
  <c r="AA76" i="2"/>
  <c r="AA77" i="2"/>
  <c r="AA92" i="2"/>
  <c r="AA109" i="2"/>
  <c r="AA102" i="2"/>
  <c r="AA125" i="2"/>
  <c r="AA149" i="2"/>
  <c r="AA79" i="2"/>
  <c r="AA104" i="2"/>
  <c r="AA89" i="2"/>
  <c r="AA120" i="2"/>
  <c r="AA127" i="2"/>
  <c r="AA156" i="2"/>
  <c r="AA140" i="2"/>
  <c r="AA151" i="2"/>
  <c r="AA147" i="2"/>
  <c r="AA144" i="2"/>
  <c r="AA118" i="2"/>
  <c r="Z75" i="2"/>
  <c r="Z91" i="2"/>
  <c r="Z78" i="2"/>
  <c r="Z94" i="2"/>
  <c r="Z110" i="2"/>
  <c r="Z126" i="2"/>
  <c r="Z81" i="2"/>
  <c r="Z97" i="2"/>
  <c r="Z113" i="2"/>
  <c r="Z129" i="2"/>
  <c r="Z145" i="2"/>
  <c r="Z68" i="2"/>
  <c r="Z84" i="2"/>
  <c r="Z100" i="2"/>
  <c r="Z116" i="2"/>
  <c r="Z132" i="2"/>
  <c r="Z148" i="2"/>
  <c r="Z87" i="2"/>
  <c r="Z71" i="2"/>
  <c r="Z103" i="2"/>
  <c r="Z119" i="2"/>
  <c r="Z74" i="2"/>
  <c r="Z90" i="2"/>
  <c r="Z106" i="2"/>
  <c r="Z122" i="2"/>
  <c r="Z138" i="2"/>
  <c r="Z77" i="2"/>
  <c r="Z93" i="2"/>
  <c r="Z109" i="2"/>
  <c r="Z125" i="2"/>
  <c r="Z141" i="2"/>
  <c r="Z157" i="2"/>
  <c r="Z69" i="2"/>
  <c r="Z112" i="2"/>
  <c r="Z114" i="2"/>
  <c r="Z136" i="2"/>
  <c r="Z142" i="2"/>
  <c r="Z80" i="2"/>
  <c r="Z82" i="2"/>
  <c r="Z95" i="2"/>
  <c r="Z105" i="2"/>
  <c r="Z107" i="2"/>
  <c r="Z128" i="2"/>
  <c r="Z146" i="2"/>
  <c r="Z67" i="2"/>
  <c r="Z130" i="2"/>
  <c r="Z155" i="2"/>
  <c r="Z143" i="2"/>
  <c r="Z72" i="2"/>
  <c r="Z117" i="2"/>
  <c r="Z73" i="2"/>
  <c r="Z88" i="2"/>
  <c r="Z101" i="2"/>
  <c r="Z135" i="2"/>
  <c r="Z152" i="2"/>
  <c r="Z86" i="2"/>
  <c r="Z99" i="2"/>
  <c r="Z154" i="2"/>
  <c r="Z133" i="2"/>
  <c r="Z147" i="2"/>
  <c r="Z76" i="2"/>
  <c r="Z118" i="2"/>
  <c r="Z120" i="2"/>
  <c r="Z70" i="2"/>
  <c r="Z85" i="2"/>
  <c r="Z98" i="2"/>
  <c r="Z124" i="2"/>
  <c r="Z150" i="2"/>
  <c r="Z139" i="2"/>
  <c r="Z131" i="2"/>
  <c r="Z83" i="2"/>
  <c r="Z96" i="2"/>
  <c r="Z115" i="2"/>
  <c r="Z108" i="2"/>
  <c r="Z137" i="2"/>
  <c r="Z92" i="2"/>
  <c r="Z79" i="2"/>
  <c r="Z153" i="2"/>
  <c r="Z123" i="2"/>
  <c r="Z111" i="2"/>
  <c r="Z104" i="2"/>
  <c r="Z89" i="2"/>
  <c r="Z127" i="2"/>
  <c r="Z156" i="2"/>
  <c r="Z151" i="2"/>
  <c r="Z134" i="2"/>
  <c r="Z121" i="2"/>
  <c r="Z102" i="2"/>
  <c r="Z149" i="2"/>
  <c r="Z140" i="2"/>
  <c r="Z144" i="2"/>
  <c r="Y78" i="2"/>
  <c r="Y94" i="2"/>
  <c r="Y81" i="2"/>
  <c r="Y97" i="2"/>
  <c r="Y113" i="2"/>
  <c r="Y129" i="2"/>
  <c r="Y68" i="2"/>
  <c r="Y84" i="2"/>
  <c r="Y100" i="2"/>
  <c r="Y116" i="2"/>
  <c r="Y132" i="2"/>
  <c r="Y148" i="2"/>
  <c r="Y71" i="2"/>
  <c r="Y87" i="2"/>
  <c r="Y103" i="2"/>
  <c r="Y119" i="2"/>
  <c r="Y135" i="2"/>
  <c r="Y151" i="2"/>
  <c r="Y90" i="2"/>
  <c r="Y106" i="2"/>
  <c r="Y122" i="2"/>
  <c r="Y74" i="2"/>
  <c r="Y77" i="2"/>
  <c r="Y93" i="2"/>
  <c r="Y109" i="2"/>
  <c r="Y125" i="2"/>
  <c r="Y141" i="2"/>
  <c r="Y80" i="2"/>
  <c r="Y96" i="2"/>
  <c r="Y112" i="2"/>
  <c r="Y128" i="2"/>
  <c r="Y144" i="2"/>
  <c r="Y67" i="2"/>
  <c r="Y82" i="2"/>
  <c r="Y95" i="2"/>
  <c r="Y105" i="2"/>
  <c r="Y107" i="2"/>
  <c r="Y146" i="2"/>
  <c r="Y154" i="2"/>
  <c r="Y130" i="2"/>
  <c r="Y155" i="2"/>
  <c r="Y147" i="2"/>
  <c r="Y72" i="2"/>
  <c r="Y157" i="2"/>
  <c r="Y89" i="2"/>
  <c r="Y70" i="2"/>
  <c r="Y85" i="2"/>
  <c r="Y98" i="2"/>
  <c r="Y124" i="2"/>
  <c r="Y150" i="2"/>
  <c r="Y143" i="2"/>
  <c r="Y86" i="2"/>
  <c r="Y99" i="2"/>
  <c r="Y131" i="2"/>
  <c r="Y133" i="2"/>
  <c r="Y91" i="2"/>
  <c r="Y118" i="2"/>
  <c r="Y120" i="2"/>
  <c r="Y111" i="2"/>
  <c r="Y127" i="2"/>
  <c r="Y83" i="2"/>
  <c r="Y115" i="2"/>
  <c r="Y117" i="2"/>
  <c r="Y126" i="2"/>
  <c r="Y75" i="2"/>
  <c r="Y108" i="2"/>
  <c r="Y110" i="2"/>
  <c r="Y137" i="2"/>
  <c r="Y145" i="2"/>
  <c r="Y73" i="2"/>
  <c r="Y88" i="2"/>
  <c r="Y101" i="2"/>
  <c r="Y139" i="2"/>
  <c r="Y152" i="2"/>
  <c r="Y76" i="2"/>
  <c r="Y156" i="2"/>
  <c r="Y114" i="2"/>
  <c r="Y134" i="2"/>
  <c r="Y92" i="2"/>
  <c r="Y136" i="2"/>
  <c r="Y142" i="2"/>
  <c r="Y153" i="2"/>
  <c r="Y102" i="2"/>
  <c r="Y123" i="2"/>
  <c r="Y149" i="2"/>
  <c r="Y79" i="2"/>
  <c r="Y104" i="2"/>
  <c r="Y140" i="2"/>
  <c r="Y138" i="2"/>
  <c r="Y69" i="2"/>
  <c r="Y121" i="2"/>
  <c r="W68" i="2"/>
  <c r="W84" i="2"/>
  <c r="W100" i="2"/>
  <c r="W71" i="2"/>
  <c r="W87" i="2"/>
  <c r="W103" i="2"/>
  <c r="W119" i="2"/>
  <c r="W135" i="2"/>
  <c r="W74" i="2"/>
  <c r="W90" i="2"/>
  <c r="W106" i="2"/>
  <c r="W122" i="2"/>
  <c r="W138" i="2"/>
  <c r="W154" i="2"/>
  <c r="W77" i="2"/>
  <c r="W93" i="2"/>
  <c r="W109" i="2"/>
  <c r="W125" i="2"/>
  <c r="W141" i="2"/>
  <c r="W157" i="2"/>
  <c r="W80" i="2"/>
  <c r="W96" i="2"/>
  <c r="W112" i="2"/>
  <c r="W67" i="2"/>
  <c r="W83" i="2"/>
  <c r="W99" i="2"/>
  <c r="W115" i="2"/>
  <c r="W131" i="2"/>
  <c r="W70" i="2"/>
  <c r="W86" i="2"/>
  <c r="W102" i="2"/>
  <c r="W118" i="2"/>
  <c r="W134" i="2"/>
  <c r="W150" i="2"/>
  <c r="W72" i="2"/>
  <c r="W128" i="2"/>
  <c r="W132" i="2"/>
  <c r="W127" i="2"/>
  <c r="W149" i="2"/>
  <c r="W79" i="2"/>
  <c r="W85" i="2"/>
  <c r="W98" i="2"/>
  <c r="W124" i="2"/>
  <c r="W148" i="2"/>
  <c r="W117" i="2"/>
  <c r="W126" i="2"/>
  <c r="W75" i="2"/>
  <c r="W108" i="2"/>
  <c r="W110" i="2"/>
  <c r="W137" i="2"/>
  <c r="W76" i="2"/>
  <c r="W91" i="2"/>
  <c r="W147" i="2"/>
  <c r="W156" i="2"/>
  <c r="W89" i="2"/>
  <c r="W113" i="2"/>
  <c r="W81" i="2"/>
  <c r="W104" i="2"/>
  <c r="W129" i="2"/>
  <c r="W94" i="2"/>
  <c r="W73" i="2"/>
  <c r="W88" i="2"/>
  <c r="W101" i="2"/>
  <c r="W139" i="2"/>
  <c r="W143" i="2"/>
  <c r="W152" i="2"/>
  <c r="W111" i="2"/>
  <c r="W78" i="2"/>
  <c r="W133" i="2"/>
  <c r="W145" i="2"/>
  <c r="W120" i="2"/>
  <c r="W107" i="2"/>
  <c r="W136" i="2"/>
  <c r="W142" i="2"/>
  <c r="W153" i="2"/>
  <c r="W151" i="2"/>
  <c r="W123" i="2"/>
  <c r="W140" i="2"/>
  <c r="W82" i="2"/>
  <c r="W92" i="2"/>
  <c r="W116" i="2"/>
  <c r="W130" i="2"/>
  <c r="W144" i="2"/>
  <c r="W95" i="2"/>
  <c r="W155" i="2"/>
  <c r="W97" i="2"/>
  <c r="W105" i="2"/>
  <c r="W146" i="2"/>
  <c r="W121" i="2"/>
  <c r="W114" i="2"/>
  <c r="W69" i="2"/>
  <c r="X81" i="2"/>
  <c r="X97" i="2"/>
  <c r="X68" i="2"/>
  <c r="X84" i="2"/>
  <c r="X100" i="2"/>
  <c r="X116" i="2"/>
  <c r="X132" i="2"/>
  <c r="X71" i="2"/>
  <c r="X87" i="2"/>
  <c r="X103" i="2"/>
  <c r="X119" i="2"/>
  <c r="X135" i="2"/>
  <c r="X151" i="2"/>
  <c r="X74" i="2"/>
  <c r="X90" i="2"/>
  <c r="X106" i="2"/>
  <c r="X122" i="2"/>
  <c r="X138" i="2"/>
  <c r="X154" i="2"/>
  <c r="X109" i="2"/>
  <c r="X77" i="2"/>
  <c r="X93" i="2"/>
  <c r="X80" i="2"/>
  <c r="X96" i="2"/>
  <c r="X112" i="2"/>
  <c r="X128" i="2"/>
  <c r="X144" i="2"/>
  <c r="X67" i="2"/>
  <c r="X83" i="2"/>
  <c r="X99" i="2"/>
  <c r="X115" i="2"/>
  <c r="X131" i="2"/>
  <c r="X147" i="2"/>
  <c r="X130" i="2"/>
  <c r="X155" i="2"/>
  <c r="X76" i="2"/>
  <c r="X72" i="2"/>
  <c r="X157" i="2"/>
  <c r="X70" i="2"/>
  <c r="X85" i="2"/>
  <c r="X98" i="2"/>
  <c r="X124" i="2"/>
  <c r="X148" i="2"/>
  <c r="X150" i="2"/>
  <c r="X156" i="2"/>
  <c r="X117" i="2"/>
  <c r="X126" i="2"/>
  <c r="X139" i="2"/>
  <c r="X143" i="2"/>
  <c r="X152" i="2"/>
  <c r="X78" i="2"/>
  <c r="X133" i="2"/>
  <c r="X145" i="2"/>
  <c r="X91" i="2"/>
  <c r="X118" i="2"/>
  <c r="X120" i="2"/>
  <c r="X89" i="2"/>
  <c r="X111" i="2"/>
  <c r="X113" i="2"/>
  <c r="X127" i="2"/>
  <c r="X102" i="2"/>
  <c r="X104" i="2"/>
  <c r="X125" i="2"/>
  <c r="X129" i="2"/>
  <c r="X149" i="2"/>
  <c r="X75" i="2"/>
  <c r="X108" i="2"/>
  <c r="X110" i="2"/>
  <c r="X137" i="2"/>
  <c r="X73" i="2"/>
  <c r="X88" i="2"/>
  <c r="X101" i="2"/>
  <c r="X141" i="2"/>
  <c r="X86" i="2"/>
  <c r="X92" i="2"/>
  <c r="X107" i="2"/>
  <c r="X136" i="2"/>
  <c r="X142" i="2"/>
  <c r="X153" i="2"/>
  <c r="X123" i="2"/>
  <c r="X95" i="2"/>
  <c r="X140" i="2"/>
  <c r="X134" i="2"/>
  <c r="X105" i="2"/>
  <c r="X146" i="2"/>
  <c r="X121" i="2"/>
  <c r="X82" i="2"/>
  <c r="X94" i="2"/>
  <c r="X69" i="2"/>
  <c r="X79" i="2"/>
  <c r="X114" i="2"/>
  <c r="J38" i="2"/>
  <c r="J42" i="2"/>
  <c r="J46" i="2"/>
  <c r="J50" i="2"/>
  <c r="J54" i="2"/>
  <c r="J58" i="2"/>
  <c r="J62" i="2"/>
  <c r="J66" i="2"/>
  <c r="J70" i="2"/>
  <c r="J74" i="2"/>
  <c r="J78" i="2"/>
  <c r="J82" i="2"/>
  <c r="J86" i="2"/>
  <c r="J90" i="2"/>
  <c r="J94" i="2"/>
  <c r="J98" i="2"/>
  <c r="J102" i="2"/>
  <c r="J106" i="2"/>
  <c r="J110" i="2"/>
  <c r="J114" i="2"/>
  <c r="J118" i="2"/>
  <c r="J122" i="2"/>
  <c r="J126" i="2"/>
  <c r="J130" i="2"/>
  <c r="J134" i="2"/>
  <c r="J138" i="2"/>
  <c r="J142" i="2"/>
  <c r="J146" i="2"/>
  <c r="J153" i="2"/>
  <c r="J157" i="2"/>
  <c r="J37" i="2"/>
  <c r="J41" i="2"/>
  <c r="J45" i="2"/>
  <c r="J49" i="2"/>
  <c r="J53" i="2"/>
  <c r="J57" i="2"/>
  <c r="J61" i="2"/>
  <c r="J65" i="2"/>
  <c r="J69" i="2"/>
  <c r="J73" i="2"/>
  <c r="J77" i="2"/>
  <c r="J81" i="2"/>
  <c r="J85" i="2"/>
  <c r="J89" i="2"/>
  <c r="J93" i="2"/>
  <c r="J97" i="2"/>
  <c r="J101" i="2"/>
  <c r="J105" i="2"/>
  <c r="J109" i="2"/>
  <c r="J113" i="2"/>
  <c r="J117" i="2"/>
  <c r="J121" i="2"/>
  <c r="J125" i="2"/>
  <c r="J129" i="2"/>
  <c r="J133" i="2"/>
  <c r="J137" i="2"/>
  <c r="J141" i="2"/>
  <c r="J145" i="2"/>
  <c r="J149" i="2"/>
  <c r="J152" i="2"/>
  <c r="J156" i="2"/>
  <c r="J40" i="2"/>
  <c r="J44" i="2"/>
  <c r="J48" i="2"/>
  <c r="J52" i="2"/>
  <c r="J56" i="2"/>
  <c r="J60" i="2"/>
  <c r="J64" i="2"/>
  <c r="J68" i="2"/>
  <c r="J72" i="2"/>
  <c r="J76" i="2"/>
  <c r="J80" i="2"/>
  <c r="J84" i="2"/>
  <c r="J88" i="2"/>
  <c r="J92" i="2"/>
  <c r="J96" i="2"/>
  <c r="J100" i="2"/>
  <c r="J104" i="2"/>
  <c r="J108" i="2"/>
  <c r="J112" i="2"/>
  <c r="J116" i="2"/>
  <c r="J120" i="2"/>
  <c r="J124" i="2"/>
  <c r="J128" i="2"/>
  <c r="J132" i="2"/>
  <c r="J136" i="2"/>
  <c r="J140" i="2"/>
  <c r="J144" i="2"/>
  <c r="J148" i="2"/>
  <c r="J155" i="2"/>
  <c r="J154" i="2"/>
  <c r="J39" i="2"/>
  <c r="J43" i="2"/>
  <c r="J47" i="2"/>
  <c r="J51" i="2"/>
  <c r="J55" i="2"/>
  <c r="J59" i="2"/>
  <c r="J63" i="2"/>
  <c r="J67" i="2"/>
  <c r="J71" i="2"/>
  <c r="J75" i="2"/>
  <c r="J79" i="2"/>
  <c r="J83" i="2"/>
  <c r="J87" i="2"/>
  <c r="J91" i="2"/>
  <c r="J95" i="2"/>
  <c r="J99" i="2"/>
  <c r="J103" i="2"/>
  <c r="J107" i="2"/>
  <c r="J111" i="2"/>
  <c r="J115" i="2"/>
  <c r="J119" i="2"/>
  <c r="J123" i="2"/>
  <c r="J127" i="2"/>
  <c r="J131" i="2"/>
  <c r="J135" i="2"/>
  <c r="J139" i="2"/>
  <c r="J143" i="2"/>
  <c r="J147" i="2"/>
  <c r="J151" i="2"/>
  <c r="J150" i="2"/>
  <c r="I81" i="2"/>
  <c r="I93" i="2"/>
  <c r="I97" i="2"/>
  <c r="I101" i="2"/>
  <c r="I105" i="2"/>
  <c r="I109" i="2"/>
  <c r="I113" i="2"/>
  <c r="I38" i="2"/>
  <c r="I42" i="2"/>
  <c r="I46" i="2"/>
  <c r="I50" i="2"/>
  <c r="I54" i="2"/>
  <c r="I58" i="2"/>
  <c r="I62" i="2"/>
  <c r="I66" i="2"/>
  <c r="I70" i="2"/>
  <c r="I74" i="2"/>
  <c r="I78" i="2"/>
  <c r="I82" i="2"/>
  <c r="I86" i="2"/>
  <c r="I90" i="2"/>
  <c r="I94" i="2"/>
  <c r="I98" i="2"/>
  <c r="I102" i="2"/>
  <c r="I106" i="2"/>
  <c r="I110" i="2"/>
  <c r="I114" i="2"/>
  <c r="I118" i="2"/>
  <c r="I122" i="2"/>
  <c r="I126" i="2"/>
  <c r="I130" i="2"/>
  <c r="I134" i="2"/>
  <c r="I138" i="2"/>
  <c r="I142" i="2"/>
  <c r="I146" i="2"/>
  <c r="I45" i="2"/>
  <c r="I49" i="2"/>
  <c r="I53" i="2"/>
  <c r="I57" i="2"/>
  <c r="I61" i="2"/>
  <c r="I65" i="2"/>
  <c r="I37" i="2"/>
  <c r="I41" i="2"/>
  <c r="I117" i="2"/>
  <c r="I121" i="2"/>
  <c r="I125" i="2"/>
  <c r="I129" i="2"/>
  <c r="I133" i="2"/>
  <c r="I137" i="2"/>
  <c r="I141" i="2"/>
  <c r="I145" i="2"/>
  <c r="I149" i="2"/>
  <c r="I153" i="2"/>
  <c r="I157" i="2"/>
  <c r="I152" i="2"/>
  <c r="I156" i="2"/>
  <c r="I154" i="2"/>
  <c r="I85" i="2"/>
  <c r="I89" i="2"/>
  <c r="I40" i="2"/>
  <c r="I44" i="2"/>
  <c r="I48" i="2"/>
  <c r="I52" i="2"/>
  <c r="I56" i="2"/>
  <c r="I60" i="2"/>
  <c r="I64" i="2"/>
  <c r="I68" i="2"/>
  <c r="I72" i="2"/>
  <c r="I76" i="2"/>
  <c r="I80" i="2"/>
  <c r="I84" i="2"/>
  <c r="I88" i="2"/>
  <c r="I92" i="2"/>
  <c r="I96" i="2"/>
  <c r="I100" i="2"/>
  <c r="I104" i="2"/>
  <c r="I108" i="2"/>
  <c r="I112" i="2"/>
  <c r="I116" i="2"/>
  <c r="I120" i="2"/>
  <c r="I124" i="2"/>
  <c r="I128" i="2"/>
  <c r="I132" i="2"/>
  <c r="I136" i="2"/>
  <c r="I140" i="2"/>
  <c r="I144" i="2"/>
  <c r="I148" i="2"/>
  <c r="I155" i="2"/>
  <c r="I73" i="2"/>
  <c r="I77" i="2"/>
  <c r="I39" i="2"/>
  <c r="I43" i="2"/>
  <c r="I47" i="2"/>
  <c r="I51" i="2"/>
  <c r="I55" i="2"/>
  <c r="I59" i="2"/>
  <c r="I63" i="2"/>
  <c r="I67" i="2"/>
  <c r="I71" i="2"/>
  <c r="I75" i="2"/>
  <c r="I79" i="2"/>
  <c r="I83" i="2"/>
  <c r="I87" i="2"/>
  <c r="I91" i="2"/>
  <c r="I95" i="2"/>
  <c r="I99" i="2"/>
  <c r="I103" i="2"/>
  <c r="I107" i="2"/>
  <c r="I111" i="2"/>
  <c r="I115" i="2"/>
  <c r="I119" i="2"/>
  <c r="I123" i="2"/>
  <c r="I127" i="2"/>
  <c r="I131" i="2"/>
  <c r="I135" i="2"/>
  <c r="I139" i="2"/>
  <c r="I143" i="2"/>
  <c r="I147" i="2"/>
  <c r="I69" i="2"/>
  <c r="I151" i="2"/>
  <c r="I150" i="2"/>
  <c r="E12" i="2"/>
  <c r="L151" i="2"/>
  <c r="L155" i="2"/>
  <c r="L39" i="2"/>
  <c r="L43" i="2"/>
  <c r="L47" i="2"/>
  <c r="L51" i="2"/>
  <c r="L55" i="2"/>
  <c r="L59" i="2"/>
  <c r="L63" i="2"/>
  <c r="L67" i="2"/>
  <c r="L71" i="2"/>
  <c r="L75" i="2"/>
  <c r="L79" i="2"/>
  <c r="L83" i="2"/>
  <c r="L87" i="2"/>
  <c r="L91" i="2"/>
  <c r="L95" i="2"/>
  <c r="L99" i="2"/>
  <c r="L103" i="2"/>
  <c r="L107" i="2"/>
  <c r="L111" i="2"/>
  <c r="L115" i="2"/>
  <c r="L119" i="2"/>
  <c r="L123" i="2"/>
  <c r="L127" i="2"/>
  <c r="L131" i="2"/>
  <c r="L135" i="2"/>
  <c r="L139" i="2"/>
  <c r="L143" i="2"/>
  <c r="L147" i="2"/>
  <c r="L38" i="2"/>
  <c r="L42" i="2"/>
  <c r="L46" i="2"/>
  <c r="L50" i="2"/>
  <c r="L54" i="2"/>
  <c r="L58" i="2"/>
  <c r="L62" i="2"/>
  <c r="L66" i="2"/>
  <c r="L70" i="2"/>
  <c r="L74" i="2"/>
  <c r="L78" i="2"/>
  <c r="L82" i="2"/>
  <c r="L86" i="2"/>
  <c r="L90" i="2"/>
  <c r="L94" i="2"/>
  <c r="L98" i="2"/>
  <c r="L102" i="2"/>
  <c r="L106" i="2"/>
  <c r="L110" i="2"/>
  <c r="L114" i="2"/>
  <c r="L118" i="2"/>
  <c r="L122" i="2"/>
  <c r="L126" i="2"/>
  <c r="L130" i="2"/>
  <c r="L134" i="2"/>
  <c r="L138" i="2"/>
  <c r="L142" i="2"/>
  <c r="L146" i="2"/>
  <c r="L150" i="2"/>
  <c r="L154" i="2"/>
  <c r="L125" i="2"/>
  <c r="L157" i="2"/>
  <c r="L37" i="2"/>
  <c r="L41" i="2"/>
  <c r="L45" i="2"/>
  <c r="L49" i="2"/>
  <c r="L53" i="2"/>
  <c r="L57" i="2"/>
  <c r="L61" i="2"/>
  <c r="L65" i="2"/>
  <c r="L69" i="2"/>
  <c r="L73" i="2"/>
  <c r="L77" i="2"/>
  <c r="L81" i="2"/>
  <c r="L85" i="2"/>
  <c r="L89" i="2"/>
  <c r="L93" i="2"/>
  <c r="L97" i="2"/>
  <c r="L101" i="2"/>
  <c r="L105" i="2"/>
  <c r="L109" i="2"/>
  <c r="L113" i="2"/>
  <c r="L117" i="2"/>
  <c r="L121" i="2"/>
  <c r="L129" i="2"/>
  <c r="L133" i="2"/>
  <c r="L137" i="2"/>
  <c r="L141" i="2"/>
  <c r="L145" i="2"/>
  <c r="L149" i="2"/>
  <c r="L153" i="2"/>
  <c r="L152" i="2"/>
  <c r="L156" i="2"/>
  <c r="L40" i="2"/>
  <c r="L44" i="2"/>
  <c r="L48" i="2"/>
  <c r="L52" i="2"/>
  <c r="L56" i="2"/>
  <c r="L60" i="2"/>
  <c r="L64" i="2"/>
  <c r="L68" i="2"/>
  <c r="L72" i="2"/>
  <c r="L76" i="2"/>
  <c r="L80" i="2"/>
  <c r="L84" i="2"/>
  <c r="L88" i="2"/>
  <c r="L92" i="2"/>
  <c r="L96" i="2"/>
  <c r="L100" i="2"/>
  <c r="L104" i="2"/>
  <c r="L108" i="2"/>
  <c r="L112" i="2"/>
  <c r="L116" i="2"/>
  <c r="L120" i="2"/>
  <c r="L124" i="2"/>
  <c r="L128" i="2"/>
  <c r="L132" i="2"/>
  <c r="L136" i="2"/>
  <c r="L140" i="2"/>
  <c r="L144" i="2"/>
  <c r="L148" i="2"/>
  <c r="E13" i="2"/>
  <c r="F37" i="2"/>
  <c r="F41" i="2"/>
  <c r="F45" i="2"/>
  <c r="F49" i="2"/>
  <c r="F53" i="2"/>
  <c r="F57" i="2"/>
  <c r="F61" i="2"/>
  <c r="F65" i="2"/>
  <c r="F69" i="2"/>
  <c r="F73" i="2"/>
  <c r="F77" i="2"/>
  <c r="F81" i="2"/>
  <c r="F85" i="2"/>
  <c r="F89" i="2"/>
  <c r="F93" i="2"/>
  <c r="F97" i="2"/>
  <c r="F101" i="2"/>
  <c r="F105" i="2"/>
  <c r="F109" i="2"/>
  <c r="F113" i="2"/>
  <c r="F117" i="2"/>
  <c r="F121" i="2"/>
  <c r="F125" i="2"/>
  <c r="F129" i="2"/>
  <c r="F133" i="2"/>
  <c r="F137" i="2"/>
  <c r="F141" i="2"/>
  <c r="F145" i="2"/>
  <c r="F149" i="2"/>
  <c r="F152" i="2"/>
  <c r="F156" i="2"/>
  <c r="F40" i="2"/>
  <c r="F44" i="2"/>
  <c r="F48" i="2"/>
  <c r="F52" i="2"/>
  <c r="F56" i="2"/>
  <c r="F60" i="2"/>
  <c r="F64" i="2"/>
  <c r="F68" i="2"/>
  <c r="F72" i="2"/>
  <c r="F76" i="2"/>
  <c r="F80" i="2"/>
  <c r="F84" i="2"/>
  <c r="F88" i="2"/>
  <c r="F92" i="2"/>
  <c r="F96" i="2"/>
  <c r="F100" i="2"/>
  <c r="F104" i="2"/>
  <c r="F108" i="2"/>
  <c r="F112" i="2"/>
  <c r="F116" i="2"/>
  <c r="F120" i="2"/>
  <c r="F124" i="2"/>
  <c r="F128" i="2"/>
  <c r="F132" i="2"/>
  <c r="F136" i="2"/>
  <c r="F140" i="2"/>
  <c r="F144" i="2"/>
  <c r="F148" i="2"/>
  <c r="F155" i="2"/>
  <c r="F39" i="2"/>
  <c r="F43" i="2"/>
  <c r="F47" i="2"/>
  <c r="F51" i="2"/>
  <c r="F55" i="2"/>
  <c r="F59" i="2"/>
  <c r="F63" i="2"/>
  <c r="F67" i="2"/>
  <c r="F71" i="2"/>
  <c r="F75" i="2"/>
  <c r="F79" i="2"/>
  <c r="F83" i="2"/>
  <c r="F87" i="2"/>
  <c r="F91" i="2"/>
  <c r="F95" i="2"/>
  <c r="F99" i="2"/>
  <c r="F103" i="2"/>
  <c r="F107" i="2"/>
  <c r="F111" i="2"/>
  <c r="F115" i="2"/>
  <c r="F119" i="2"/>
  <c r="F123" i="2"/>
  <c r="F127" i="2"/>
  <c r="F131" i="2"/>
  <c r="F135" i="2"/>
  <c r="F139" i="2"/>
  <c r="F143" i="2"/>
  <c r="F147" i="2"/>
  <c r="F154" i="2"/>
  <c r="F153" i="2"/>
  <c r="F157" i="2"/>
  <c r="F38" i="2"/>
  <c r="F42" i="2"/>
  <c r="F46" i="2"/>
  <c r="F50" i="2"/>
  <c r="F54" i="2"/>
  <c r="F58" i="2"/>
  <c r="F62" i="2"/>
  <c r="F66" i="2"/>
  <c r="F70" i="2"/>
  <c r="F74" i="2"/>
  <c r="F78" i="2"/>
  <c r="F82" i="2"/>
  <c r="F86" i="2"/>
  <c r="F90" i="2"/>
  <c r="F94" i="2"/>
  <c r="F98" i="2"/>
  <c r="F102" i="2"/>
  <c r="F106" i="2"/>
  <c r="F110" i="2"/>
  <c r="F114" i="2"/>
  <c r="F118" i="2"/>
  <c r="F122" i="2"/>
  <c r="F126" i="2"/>
  <c r="F130" i="2"/>
  <c r="F134" i="2"/>
  <c r="F138" i="2"/>
  <c r="F142" i="2"/>
  <c r="F146" i="2"/>
  <c r="F150" i="2"/>
  <c r="F151" i="2"/>
  <c r="E20" i="2"/>
  <c r="E11" i="2"/>
  <c r="E14" i="2"/>
  <c r="E19" i="2"/>
  <c r="E21" i="2"/>
  <c r="E36" i="2"/>
  <c r="E153" i="2"/>
  <c r="E96" i="2"/>
  <c r="E100" i="2"/>
  <c r="E104" i="2"/>
  <c r="E108" i="2"/>
  <c r="E112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3" i="2"/>
  <c r="E97" i="2"/>
  <c r="E101" i="2"/>
  <c r="E105" i="2"/>
  <c r="E109" i="2"/>
  <c r="E113" i="2"/>
  <c r="E117" i="2"/>
  <c r="E121" i="2"/>
  <c r="E125" i="2"/>
  <c r="E129" i="2"/>
  <c r="E133" i="2"/>
  <c r="E137" i="2"/>
  <c r="E141" i="2"/>
  <c r="E145" i="2"/>
  <c r="E149" i="2"/>
  <c r="E44" i="2"/>
  <c r="E48" i="2"/>
  <c r="E52" i="2"/>
  <c r="E56" i="2"/>
  <c r="E60" i="2"/>
  <c r="E64" i="2"/>
  <c r="E68" i="2"/>
  <c r="E40" i="2"/>
  <c r="E120" i="2"/>
  <c r="E124" i="2"/>
  <c r="E128" i="2"/>
  <c r="E132" i="2"/>
  <c r="E136" i="2"/>
  <c r="E140" i="2"/>
  <c r="E144" i="2"/>
  <c r="E148" i="2"/>
  <c r="E152" i="2"/>
  <c r="E156" i="2"/>
  <c r="E155" i="2"/>
  <c r="E72" i="2"/>
  <c r="E84" i="2"/>
  <c r="E88" i="2"/>
  <c r="E39" i="2"/>
  <c r="E43" i="2"/>
  <c r="E47" i="2"/>
  <c r="E51" i="2"/>
  <c r="E55" i="2"/>
  <c r="E59" i="2"/>
  <c r="E63" i="2"/>
  <c r="E67" i="2"/>
  <c r="E71" i="2"/>
  <c r="E75" i="2"/>
  <c r="E79" i="2"/>
  <c r="E83" i="2"/>
  <c r="E87" i="2"/>
  <c r="E91" i="2"/>
  <c r="E95" i="2"/>
  <c r="E99" i="2"/>
  <c r="E103" i="2"/>
  <c r="E107" i="2"/>
  <c r="E111" i="2"/>
  <c r="E115" i="2"/>
  <c r="E119" i="2"/>
  <c r="E123" i="2"/>
  <c r="E127" i="2"/>
  <c r="E131" i="2"/>
  <c r="E135" i="2"/>
  <c r="E139" i="2"/>
  <c r="E143" i="2"/>
  <c r="E147" i="2"/>
  <c r="E154" i="2"/>
  <c r="E157" i="2"/>
  <c r="E76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10" i="2"/>
  <c r="E114" i="2"/>
  <c r="E118" i="2"/>
  <c r="E122" i="2"/>
  <c r="E126" i="2"/>
  <c r="E130" i="2"/>
  <c r="E134" i="2"/>
  <c r="E138" i="2"/>
  <c r="E142" i="2"/>
  <c r="E146" i="2"/>
  <c r="E150" i="2"/>
  <c r="E92" i="2"/>
  <c r="E116" i="2"/>
  <c r="E151" i="2"/>
  <c r="E80" i="2"/>
  <c r="E34" i="2"/>
  <c r="E26" i="2"/>
  <c r="H15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114" i="2"/>
  <c r="H118" i="2"/>
  <c r="H122" i="2"/>
  <c r="H126" i="2"/>
  <c r="H130" i="2"/>
  <c r="H134" i="2"/>
  <c r="H138" i="2"/>
  <c r="H142" i="2"/>
  <c r="H146" i="2"/>
  <c r="H37" i="2"/>
  <c r="H41" i="2"/>
  <c r="H45" i="2"/>
  <c r="H49" i="2"/>
  <c r="H53" i="2"/>
  <c r="H57" i="2"/>
  <c r="H61" i="2"/>
  <c r="H65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125" i="2"/>
  <c r="H129" i="2"/>
  <c r="H133" i="2"/>
  <c r="H137" i="2"/>
  <c r="H141" i="2"/>
  <c r="H145" i="2"/>
  <c r="H149" i="2"/>
  <c r="H153" i="2"/>
  <c r="H157" i="2"/>
  <c r="H148" i="2"/>
  <c r="H15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4" i="2"/>
  <c r="H128" i="2"/>
  <c r="H132" i="2"/>
  <c r="H136" i="2"/>
  <c r="H140" i="2"/>
  <c r="H144" i="2"/>
  <c r="H152" i="2"/>
  <c r="H155" i="2"/>
  <c r="H39" i="2"/>
  <c r="H43" i="2"/>
  <c r="H47" i="2"/>
  <c r="H51" i="2"/>
  <c r="H55" i="2"/>
  <c r="H59" i="2"/>
  <c r="H63" i="2"/>
  <c r="H67" i="2"/>
  <c r="H71" i="2"/>
  <c r="H75" i="2"/>
  <c r="H79" i="2"/>
  <c r="H83" i="2"/>
  <c r="H87" i="2"/>
  <c r="H91" i="2"/>
  <c r="H95" i="2"/>
  <c r="H99" i="2"/>
  <c r="H103" i="2"/>
  <c r="H107" i="2"/>
  <c r="H111" i="2"/>
  <c r="H115" i="2"/>
  <c r="H119" i="2"/>
  <c r="H123" i="2"/>
  <c r="H127" i="2"/>
  <c r="H131" i="2"/>
  <c r="H135" i="2"/>
  <c r="H139" i="2"/>
  <c r="H143" i="2"/>
  <c r="H147" i="2"/>
  <c r="H69" i="2"/>
  <c r="H150" i="2"/>
  <c r="H151" i="2"/>
  <c r="E29" i="2"/>
  <c r="E18" i="2"/>
  <c r="E10" i="2"/>
  <c r="E8" i="2"/>
  <c r="E28" i="2"/>
  <c r="G38" i="2"/>
  <c r="G42" i="2"/>
  <c r="G46" i="2"/>
  <c r="G50" i="2"/>
  <c r="G54" i="2"/>
  <c r="G58" i="2"/>
  <c r="G62" i="2"/>
  <c r="G66" i="2"/>
  <c r="G70" i="2"/>
  <c r="G74" i="2"/>
  <c r="G78" i="2"/>
  <c r="G82" i="2"/>
  <c r="G86" i="2"/>
  <c r="G90" i="2"/>
  <c r="G94" i="2"/>
  <c r="G98" i="2"/>
  <c r="G102" i="2"/>
  <c r="G106" i="2"/>
  <c r="G110" i="2"/>
  <c r="G114" i="2"/>
  <c r="G118" i="2"/>
  <c r="G122" i="2"/>
  <c r="G126" i="2"/>
  <c r="G130" i="2"/>
  <c r="G134" i="2"/>
  <c r="G138" i="2"/>
  <c r="G142" i="2"/>
  <c r="G146" i="2"/>
  <c r="G150" i="2"/>
  <c r="G154" i="2"/>
  <c r="G37" i="2"/>
  <c r="G41" i="2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40" i="2"/>
  <c r="G44" i="2"/>
  <c r="G48" i="2"/>
  <c r="G52" i="2"/>
  <c r="G56" i="2"/>
  <c r="G60" i="2"/>
  <c r="G64" i="2"/>
  <c r="G68" i="2"/>
  <c r="G72" i="2"/>
  <c r="G76" i="2"/>
  <c r="G80" i="2"/>
  <c r="G84" i="2"/>
  <c r="G88" i="2"/>
  <c r="G92" i="2"/>
  <c r="G96" i="2"/>
  <c r="G100" i="2"/>
  <c r="G104" i="2"/>
  <c r="G108" i="2"/>
  <c r="G112" i="2"/>
  <c r="G116" i="2"/>
  <c r="G120" i="2"/>
  <c r="G124" i="2"/>
  <c r="G128" i="2"/>
  <c r="G132" i="2"/>
  <c r="G136" i="2"/>
  <c r="G140" i="2"/>
  <c r="G144" i="2"/>
  <c r="G148" i="2"/>
  <c r="G152" i="2"/>
  <c r="G156" i="2"/>
  <c r="G39" i="2"/>
  <c r="G43" i="2"/>
  <c r="G47" i="2"/>
  <c r="G51" i="2"/>
  <c r="G55" i="2"/>
  <c r="G59" i="2"/>
  <c r="G63" i="2"/>
  <c r="G67" i="2"/>
  <c r="G71" i="2"/>
  <c r="G75" i="2"/>
  <c r="G79" i="2"/>
  <c r="G83" i="2"/>
  <c r="G87" i="2"/>
  <c r="G91" i="2"/>
  <c r="G95" i="2"/>
  <c r="G99" i="2"/>
  <c r="G103" i="2"/>
  <c r="G107" i="2"/>
  <c r="G111" i="2"/>
  <c r="G115" i="2"/>
  <c r="G119" i="2"/>
  <c r="G123" i="2"/>
  <c r="G127" i="2"/>
  <c r="G131" i="2"/>
  <c r="G135" i="2"/>
  <c r="G139" i="2"/>
  <c r="G143" i="2"/>
  <c r="G147" i="2"/>
  <c r="G151" i="2"/>
  <c r="G155" i="2"/>
  <c r="E17" i="2"/>
  <c r="E24" i="2"/>
  <c r="I33" i="2"/>
  <c r="I31" i="2"/>
  <c r="E35" i="2"/>
  <c r="E27" i="2"/>
  <c r="V41" i="2"/>
  <c r="BE48" i="2"/>
  <c r="V34" i="2"/>
  <c r="V36" i="2"/>
  <c r="V52" i="2"/>
  <c r="V9" i="2"/>
  <c r="V18" i="2"/>
  <c r="V25" i="2"/>
  <c r="V53" i="2"/>
  <c r="V32" i="2"/>
  <c r="V11" i="2"/>
  <c r="V38" i="2"/>
  <c r="V57" i="2"/>
  <c r="V50" i="2"/>
  <c r="V27" i="2"/>
  <c r="V43" i="2"/>
  <c r="V59" i="2"/>
  <c r="V20" i="2"/>
  <c r="V23" i="2"/>
  <c r="BE32" i="2"/>
  <c r="V8" i="2"/>
  <c r="V12" i="2"/>
  <c r="V37" i="2"/>
  <c r="V24" i="2"/>
  <c r="V55" i="2"/>
  <c r="V19" i="2"/>
  <c r="V22" i="2"/>
  <c r="V56" i="2"/>
  <c r="V29" i="2"/>
  <c r="I57" i="3"/>
  <c r="G57" i="3"/>
  <c r="E57" i="3"/>
  <c r="H57" i="3"/>
  <c r="F57" i="3"/>
  <c r="J57" i="3"/>
  <c r="V21" i="2"/>
  <c r="V51" i="2"/>
  <c r="V45" i="2"/>
  <c r="V48" i="2"/>
  <c r="V17" i="2"/>
  <c r="V61" i="2"/>
  <c r="V66" i="2"/>
  <c r="V64" i="2"/>
  <c r="V44" i="2"/>
  <c r="V49" i="2"/>
  <c r="V39" i="2"/>
  <c r="V13" i="2"/>
  <c r="G58" i="3"/>
  <c r="I58" i="3"/>
  <c r="H58" i="3"/>
  <c r="E58" i="3"/>
  <c r="J58" i="3"/>
  <c r="F58" i="3"/>
  <c r="BE60" i="2"/>
  <c r="I59" i="3"/>
  <c r="E59" i="3"/>
  <c r="H59" i="3"/>
  <c r="G59" i="3"/>
  <c r="J59" i="3"/>
  <c r="F59" i="3"/>
  <c r="V26" i="2"/>
  <c r="V33" i="2"/>
  <c r="V35" i="2"/>
  <c r="V10" i="2"/>
  <c r="V65" i="2"/>
  <c r="V54" i="2"/>
  <c r="V40" i="2"/>
  <c r="V28" i="2"/>
  <c r="V42" i="2"/>
  <c r="V60" i="2"/>
  <c r="BE31" i="2"/>
  <c r="BE47" i="2"/>
  <c r="BE23" i="2"/>
  <c r="BE15" i="2"/>
  <c r="BE63" i="2"/>
  <c r="BE52" i="2"/>
  <c r="BE8" i="2"/>
  <c r="BE19" i="2"/>
  <c r="BE24" i="2"/>
  <c r="BE36" i="2"/>
  <c r="BE40" i="2"/>
  <c r="BE18" i="2"/>
  <c r="BE56" i="2"/>
  <c r="AN58" i="2"/>
  <c r="AN35" i="2"/>
  <c r="AN63" i="2"/>
  <c r="AN52" i="2"/>
  <c r="AN13" i="2"/>
  <c r="AN62" i="2"/>
  <c r="AN23" i="2"/>
  <c r="BE35" i="2"/>
  <c r="BE51" i="2"/>
  <c r="BE17" i="2"/>
  <c r="BE67" i="2"/>
  <c r="BE33" i="2"/>
  <c r="BE12" i="2"/>
  <c r="BE49" i="2"/>
  <c r="BE28" i="2"/>
  <c r="BE20" i="2"/>
  <c r="BE65" i="2"/>
  <c r="BE44" i="2"/>
  <c r="AN24" i="2"/>
  <c r="AN55" i="2"/>
  <c r="AN33" i="2"/>
  <c r="AN48" i="2"/>
  <c r="AN54" i="2"/>
  <c r="AN10" i="2"/>
  <c r="AN27" i="2"/>
  <c r="AN40" i="2"/>
  <c r="AN44" i="2"/>
  <c r="AN64" i="2"/>
  <c r="AN14" i="2"/>
  <c r="AN53" i="2"/>
  <c r="AN65" i="2"/>
  <c r="AN15" i="2"/>
  <c r="AN56" i="2"/>
  <c r="AN21" i="2"/>
  <c r="AN50" i="2"/>
  <c r="AN49" i="2"/>
  <c r="AN26" i="2"/>
  <c r="AN20" i="2"/>
  <c r="AN43" i="2"/>
  <c r="AN12" i="2"/>
  <c r="AN29" i="2"/>
  <c r="AN51" i="2"/>
  <c r="AN28" i="2"/>
  <c r="AN17" i="2"/>
  <c r="AN60" i="2"/>
  <c r="AN11" i="2"/>
  <c r="AN30" i="2"/>
  <c r="AN31" i="2"/>
  <c r="AN39" i="2"/>
  <c r="AN61" i="2"/>
  <c r="AN32" i="2"/>
  <c r="AN66" i="2"/>
  <c r="AN42" i="2"/>
  <c r="AN36" i="2"/>
  <c r="AN18" i="2"/>
  <c r="AN45" i="2"/>
  <c r="AN34" i="2"/>
  <c r="AN8" i="2"/>
  <c r="AN22" i="2"/>
  <c r="AN37" i="2"/>
  <c r="AN46" i="2"/>
  <c r="AN19" i="2"/>
  <c r="V16" i="2"/>
  <c r="V14" i="2"/>
  <c r="V15" i="2"/>
  <c r="V47" i="2"/>
  <c r="V30" i="2"/>
  <c r="V31" i="2"/>
  <c r="V46" i="2"/>
  <c r="V62" i="2"/>
  <c r="V63" i="2"/>
  <c r="AD8" i="2"/>
  <c r="AC14" i="2"/>
  <c r="AC30" i="2"/>
  <c r="AC46" i="2"/>
  <c r="AC62" i="2"/>
  <c r="AC16" i="2"/>
  <c r="AC32" i="2"/>
  <c r="AC48" i="2"/>
  <c r="AC64" i="2"/>
  <c r="AC7" i="2"/>
  <c r="AC15" i="2"/>
  <c r="AC31" i="2"/>
  <c r="AC47" i="2"/>
  <c r="AC63" i="2"/>
  <c r="AC17" i="2"/>
  <c r="AC33" i="2"/>
  <c r="AC49" i="2"/>
  <c r="AC65" i="2"/>
  <c r="AC18" i="2"/>
  <c r="AC34" i="2"/>
  <c r="AC50" i="2"/>
  <c r="AC66" i="2"/>
  <c r="AC19" i="2"/>
  <c r="AC35" i="2"/>
  <c r="AC51" i="2"/>
  <c r="AC36" i="2"/>
  <c r="AC21" i="2"/>
  <c r="AC53" i="2"/>
  <c r="AC20" i="2"/>
  <c r="AC52" i="2"/>
  <c r="AC37" i="2"/>
  <c r="AC9" i="2"/>
  <c r="AC22" i="2"/>
  <c r="AC38" i="2"/>
  <c r="AC54" i="2"/>
  <c r="AC10" i="2"/>
  <c r="AC26" i="2"/>
  <c r="AC42" i="2"/>
  <c r="AC58" i="2"/>
  <c r="AC11" i="2"/>
  <c r="AC27" i="2"/>
  <c r="AC43" i="2"/>
  <c r="AC59" i="2"/>
  <c r="AC23" i="2"/>
  <c r="AC39" i="2"/>
  <c r="AC55" i="2"/>
  <c r="AC24" i="2"/>
  <c r="AC40" i="2"/>
  <c r="AC56" i="2"/>
  <c r="AC25" i="2"/>
  <c r="AC41" i="2"/>
  <c r="AC57" i="2"/>
  <c r="AC12" i="2"/>
  <c r="AC44" i="2"/>
  <c r="AC45" i="2"/>
  <c r="AC28" i="2"/>
  <c r="AC60" i="2"/>
  <c r="AC13" i="2"/>
  <c r="AC29" i="2"/>
  <c r="AC61" i="2"/>
  <c r="AA17" i="2"/>
  <c r="AA33" i="2"/>
  <c r="AA49" i="2"/>
  <c r="AA65" i="2"/>
  <c r="AA19" i="2"/>
  <c r="AA35" i="2"/>
  <c r="AA51" i="2"/>
  <c r="AA18" i="2"/>
  <c r="AA34" i="2"/>
  <c r="AA50" i="2"/>
  <c r="AA66" i="2"/>
  <c r="AA20" i="2"/>
  <c r="AA36" i="2"/>
  <c r="AA52" i="2"/>
  <c r="AA21" i="2"/>
  <c r="AA37" i="2"/>
  <c r="AA53" i="2"/>
  <c r="AA8" i="2"/>
  <c r="AA22" i="2"/>
  <c r="AA38" i="2"/>
  <c r="AA54" i="2"/>
  <c r="AA39" i="2"/>
  <c r="AA24" i="2"/>
  <c r="AA56" i="2"/>
  <c r="AA23" i="2"/>
  <c r="AA55" i="2"/>
  <c r="AA40" i="2"/>
  <c r="AA9" i="2"/>
  <c r="AA25" i="2"/>
  <c r="AA41" i="2"/>
  <c r="AA57" i="2"/>
  <c r="AA13" i="2"/>
  <c r="AA29" i="2"/>
  <c r="AA45" i="2"/>
  <c r="AA61" i="2"/>
  <c r="AA14" i="2"/>
  <c r="AA30" i="2"/>
  <c r="AA46" i="2"/>
  <c r="AA62" i="2"/>
  <c r="AA10" i="2"/>
  <c r="AA26" i="2"/>
  <c r="AA42" i="2"/>
  <c r="AA58" i="2"/>
  <c r="AA11" i="2"/>
  <c r="AA27" i="2"/>
  <c r="AA43" i="2"/>
  <c r="AA59" i="2"/>
  <c r="AA12" i="2"/>
  <c r="AA28" i="2"/>
  <c r="AA44" i="2"/>
  <c r="AA60" i="2"/>
  <c r="AA15" i="2"/>
  <c r="AA47" i="2"/>
  <c r="AA16" i="2"/>
  <c r="AA48" i="2"/>
  <c r="AA31" i="2"/>
  <c r="AA63" i="2"/>
  <c r="AA32" i="2"/>
  <c r="AA64" i="2"/>
  <c r="Z20" i="2"/>
  <c r="Z36" i="2"/>
  <c r="Z52" i="2"/>
  <c r="Z22" i="2"/>
  <c r="Z38" i="2"/>
  <c r="Z54" i="2"/>
  <c r="Z21" i="2"/>
  <c r="Z37" i="2"/>
  <c r="Z53" i="2"/>
  <c r="Z8" i="2"/>
  <c r="Z23" i="2"/>
  <c r="Z39" i="2"/>
  <c r="Z55" i="2"/>
  <c r="Z24" i="2"/>
  <c r="Z40" i="2"/>
  <c r="Z56" i="2"/>
  <c r="Z9" i="2"/>
  <c r="Z25" i="2"/>
  <c r="Z41" i="2"/>
  <c r="Z57" i="2"/>
  <c r="Z10" i="2"/>
  <c r="Z42" i="2"/>
  <c r="Z27" i="2"/>
  <c r="Z59" i="2"/>
  <c r="Z26" i="2"/>
  <c r="Z58" i="2"/>
  <c r="Z11" i="2"/>
  <c r="Z43" i="2"/>
  <c r="Z12" i="2"/>
  <c r="Z28" i="2"/>
  <c r="Z44" i="2"/>
  <c r="Z60" i="2"/>
  <c r="Z63" i="2"/>
  <c r="Z16" i="2"/>
  <c r="Z32" i="2"/>
  <c r="Z48" i="2"/>
  <c r="Z64" i="2"/>
  <c r="Z17" i="2"/>
  <c r="Z33" i="2"/>
  <c r="Z49" i="2"/>
  <c r="Z65" i="2"/>
  <c r="Z13" i="2"/>
  <c r="Z29" i="2"/>
  <c r="Z45" i="2"/>
  <c r="Z61" i="2"/>
  <c r="Z14" i="2"/>
  <c r="Z30" i="2"/>
  <c r="Z46" i="2"/>
  <c r="Z62" i="2"/>
  <c r="Z15" i="2"/>
  <c r="Z31" i="2"/>
  <c r="Z18" i="2"/>
  <c r="Z50" i="2"/>
  <c r="Z19" i="2"/>
  <c r="Z51" i="2"/>
  <c r="Z34" i="2"/>
  <c r="Z66" i="2"/>
  <c r="Z35" i="2"/>
  <c r="Z47" i="2"/>
  <c r="Y23" i="2"/>
  <c r="Y39" i="2"/>
  <c r="Y55" i="2"/>
  <c r="Y40" i="2"/>
  <c r="Y56" i="2"/>
  <c r="Y9" i="2"/>
  <c r="Y25" i="2"/>
  <c r="Y41" i="2"/>
  <c r="Y57" i="2"/>
  <c r="Y24" i="2"/>
  <c r="Y10" i="2"/>
  <c r="Y26" i="2"/>
  <c r="Y42" i="2"/>
  <c r="Y58" i="2"/>
  <c r="Y27" i="2"/>
  <c r="Y43" i="2"/>
  <c r="Y59" i="2"/>
  <c r="Y12" i="2"/>
  <c r="Y28" i="2"/>
  <c r="Y44" i="2"/>
  <c r="Y60" i="2"/>
  <c r="Y13" i="2"/>
  <c r="Y45" i="2"/>
  <c r="Y30" i="2"/>
  <c r="Y62" i="2"/>
  <c r="Y29" i="2"/>
  <c r="Y61" i="2"/>
  <c r="Y14" i="2"/>
  <c r="Y46" i="2"/>
  <c r="Y15" i="2"/>
  <c r="Y31" i="2"/>
  <c r="Y47" i="2"/>
  <c r="Y63" i="2"/>
  <c r="Y18" i="2"/>
  <c r="Y34" i="2"/>
  <c r="Y50" i="2"/>
  <c r="Y66" i="2"/>
  <c r="Y19" i="2"/>
  <c r="Y35" i="2"/>
  <c r="Y51" i="2"/>
  <c r="Y20" i="2"/>
  <c r="Y36" i="2"/>
  <c r="Y52" i="2"/>
  <c r="Y16" i="2"/>
  <c r="Y32" i="2"/>
  <c r="Y48" i="2"/>
  <c r="Y64" i="2"/>
  <c r="Y17" i="2"/>
  <c r="Y33" i="2"/>
  <c r="Y49" i="2"/>
  <c r="Y65" i="2"/>
  <c r="Y21" i="2"/>
  <c r="Y53" i="2"/>
  <c r="Y22" i="2"/>
  <c r="Y54" i="2"/>
  <c r="Y37" i="2"/>
  <c r="Y8" i="2"/>
  <c r="Y38" i="2"/>
  <c r="Y11" i="2"/>
  <c r="W13" i="2"/>
  <c r="W29" i="2"/>
  <c r="W45" i="2"/>
  <c r="W61" i="2"/>
  <c r="W14" i="2"/>
  <c r="W30" i="2"/>
  <c r="W46" i="2"/>
  <c r="W62" i="2"/>
  <c r="W31" i="2"/>
  <c r="W47" i="2"/>
  <c r="W63" i="2"/>
  <c r="W16" i="2"/>
  <c r="W32" i="2"/>
  <c r="W48" i="2"/>
  <c r="W64" i="2"/>
  <c r="W17" i="2"/>
  <c r="W33" i="2"/>
  <c r="W49" i="2"/>
  <c r="W65" i="2"/>
  <c r="W18" i="2"/>
  <c r="W34" i="2"/>
  <c r="W50" i="2"/>
  <c r="W19" i="2"/>
  <c r="W51" i="2"/>
  <c r="W36" i="2"/>
  <c r="W66" i="2"/>
  <c r="W35" i="2"/>
  <c r="W20" i="2"/>
  <c r="W52" i="2"/>
  <c r="W21" i="2"/>
  <c r="W37" i="2"/>
  <c r="W53" i="2"/>
  <c r="W8" i="2"/>
  <c r="W24" i="2"/>
  <c r="W40" i="2"/>
  <c r="W56" i="2"/>
  <c r="W9" i="2"/>
  <c r="W25" i="2"/>
  <c r="W41" i="2"/>
  <c r="W57" i="2"/>
  <c r="W10" i="2"/>
  <c r="W26" i="2"/>
  <c r="W22" i="2"/>
  <c r="W38" i="2"/>
  <c r="W54" i="2"/>
  <c r="W23" i="2"/>
  <c r="W39" i="2"/>
  <c r="W55" i="2"/>
  <c r="W58" i="2"/>
  <c r="W27" i="2"/>
  <c r="W59" i="2"/>
  <c r="W28" i="2"/>
  <c r="W60" i="2"/>
  <c r="W11" i="2"/>
  <c r="W43" i="2"/>
  <c r="W12" i="2"/>
  <c r="W44" i="2"/>
  <c r="W15" i="2"/>
  <c r="W42" i="2"/>
  <c r="X10" i="2"/>
  <c r="X26" i="2"/>
  <c r="X42" i="2"/>
  <c r="X58" i="2"/>
  <c r="X11" i="2"/>
  <c r="X27" i="2"/>
  <c r="X43" i="2"/>
  <c r="X59" i="2"/>
  <c r="X12" i="2"/>
  <c r="X28" i="2"/>
  <c r="X44" i="2"/>
  <c r="X60" i="2"/>
  <c r="X13" i="2"/>
  <c r="X29" i="2"/>
  <c r="X45" i="2"/>
  <c r="X61" i="2"/>
  <c r="X14" i="2"/>
  <c r="X30" i="2"/>
  <c r="X46" i="2"/>
  <c r="X62" i="2"/>
  <c r="X15" i="2"/>
  <c r="X47" i="2"/>
  <c r="X63" i="2"/>
  <c r="X16" i="2"/>
  <c r="X48" i="2"/>
  <c r="X33" i="2"/>
  <c r="X65" i="2"/>
  <c r="X31" i="2"/>
  <c r="X32" i="2"/>
  <c r="X64" i="2"/>
  <c r="X17" i="2"/>
  <c r="X49" i="2"/>
  <c r="X18" i="2"/>
  <c r="X34" i="2"/>
  <c r="X50" i="2"/>
  <c r="X66" i="2"/>
  <c r="X21" i="2"/>
  <c r="X37" i="2"/>
  <c r="X53" i="2"/>
  <c r="X8" i="2"/>
  <c r="X22" i="2"/>
  <c r="X38" i="2"/>
  <c r="X54" i="2"/>
  <c r="X23" i="2"/>
  <c r="X39" i="2"/>
  <c r="X55" i="2"/>
  <c r="X19" i="2"/>
  <c r="X35" i="2"/>
  <c r="X51" i="2"/>
  <c r="X20" i="2"/>
  <c r="X36" i="2"/>
  <c r="X52" i="2"/>
  <c r="X24" i="2"/>
  <c r="X56" i="2"/>
  <c r="X25" i="2"/>
  <c r="X57" i="2"/>
  <c r="X40" i="2"/>
  <c r="X9" i="2"/>
  <c r="X41" i="2"/>
  <c r="BE22" i="2"/>
  <c r="BE27" i="2"/>
  <c r="BE66" i="2"/>
  <c r="BE55" i="2"/>
  <c r="BE54" i="2"/>
  <c r="BE59" i="2"/>
  <c r="BE25" i="2"/>
  <c r="BE13" i="2"/>
  <c r="BE39" i="2"/>
  <c r="BE34" i="2"/>
  <c r="BE14" i="2"/>
  <c r="BE41" i="2"/>
  <c r="BE29" i="2"/>
  <c r="BE43" i="2"/>
  <c r="BE26" i="2"/>
  <c r="BE30" i="2"/>
  <c r="BE21" i="2"/>
  <c r="BE57" i="2"/>
  <c r="BE45" i="2"/>
  <c r="BE11" i="2"/>
  <c r="BE50" i="2"/>
  <c r="BE42" i="2"/>
  <c r="BE46" i="2"/>
  <c r="BE37" i="2"/>
  <c r="BE61" i="2"/>
  <c r="BE38" i="2"/>
  <c r="BE58" i="2"/>
  <c r="BE62" i="2"/>
  <c r="BE53" i="2"/>
  <c r="BE9" i="2"/>
  <c r="BE16" i="2"/>
  <c r="AN38" i="2"/>
  <c r="AN47" i="2"/>
  <c r="AN16" i="2"/>
  <c r="AN41" i="2"/>
  <c r="AN57" i="2"/>
  <c r="AN9" i="2"/>
  <c r="AN25" i="2"/>
  <c r="L19" i="2"/>
  <c r="L7" i="2"/>
  <c r="E25" i="2"/>
  <c r="E9" i="2"/>
  <c r="E33" i="2"/>
  <c r="BD23" i="2"/>
  <c r="BD39" i="2"/>
  <c r="BD55" i="2"/>
  <c r="BD20" i="2"/>
  <c r="BD36" i="2"/>
  <c r="BD52" i="2"/>
  <c r="BD17" i="2"/>
  <c r="BD33" i="2"/>
  <c r="BD49" i="2"/>
  <c r="BD65" i="2"/>
  <c r="BD14" i="2"/>
  <c r="BD30" i="2"/>
  <c r="BD46" i="2"/>
  <c r="BD62" i="2"/>
  <c r="BD11" i="2"/>
  <c r="BD27" i="2"/>
  <c r="BD43" i="2"/>
  <c r="BD59" i="2"/>
  <c r="BD24" i="2"/>
  <c r="BD40" i="2"/>
  <c r="BD56" i="2"/>
  <c r="BD21" i="2"/>
  <c r="BD37" i="2"/>
  <c r="BD53" i="2"/>
  <c r="BD18" i="2"/>
  <c r="BD34" i="2"/>
  <c r="BD50" i="2"/>
  <c r="BD66" i="2"/>
  <c r="BD15" i="2"/>
  <c r="BD31" i="2"/>
  <c r="BD47" i="2"/>
  <c r="BD63" i="2"/>
  <c r="BD9" i="2"/>
  <c r="BD12" i="2"/>
  <c r="BD28" i="2"/>
  <c r="BD44" i="2"/>
  <c r="BD60" i="2"/>
  <c r="BD25" i="2"/>
  <c r="BD41" i="2"/>
  <c r="BD57" i="2"/>
  <c r="BD8" i="2"/>
  <c r="BD22" i="2"/>
  <c r="BD38" i="2"/>
  <c r="BD54" i="2"/>
  <c r="BD19" i="2"/>
  <c r="BD35" i="2"/>
  <c r="BD51" i="2"/>
  <c r="BD67" i="2"/>
  <c r="BD16" i="2"/>
  <c r="BD32" i="2"/>
  <c r="BD48" i="2"/>
  <c r="BD64" i="2"/>
  <c r="BD13" i="2"/>
  <c r="BD29" i="2"/>
  <c r="BD45" i="2"/>
  <c r="BD61" i="2"/>
  <c r="BD10" i="2"/>
  <c r="BD26" i="2"/>
  <c r="BD42" i="2"/>
  <c r="BD58" i="2"/>
  <c r="BL8" i="2"/>
  <c r="BK19" i="2"/>
  <c r="BK35" i="2"/>
  <c r="BK51" i="2"/>
  <c r="BK67" i="2"/>
  <c r="BK14" i="2"/>
  <c r="BK30" i="2"/>
  <c r="BK46" i="2"/>
  <c r="BK62" i="2"/>
  <c r="BK25" i="2"/>
  <c r="BK41" i="2"/>
  <c r="BK57" i="2"/>
  <c r="BK20" i="2"/>
  <c r="BK36" i="2"/>
  <c r="BK52" i="2"/>
  <c r="BK7" i="2"/>
  <c r="BK15" i="2"/>
  <c r="BK31" i="2"/>
  <c r="BK47" i="2"/>
  <c r="BK63" i="2"/>
  <c r="BK10" i="2"/>
  <c r="BK26" i="2"/>
  <c r="BK42" i="2"/>
  <c r="BK58" i="2"/>
  <c r="BK21" i="2"/>
  <c r="BK37" i="2"/>
  <c r="BK53" i="2"/>
  <c r="BK16" i="2"/>
  <c r="BK32" i="2"/>
  <c r="BK48" i="2"/>
  <c r="BK64" i="2"/>
  <c r="BK11" i="2"/>
  <c r="BK27" i="2"/>
  <c r="BK43" i="2"/>
  <c r="BK59" i="2"/>
  <c r="BK9" i="2"/>
  <c r="BK22" i="2"/>
  <c r="BK38" i="2"/>
  <c r="BK54" i="2"/>
  <c r="BK17" i="2"/>
  <c r="BK33" i="2"/>
  <c r="BK49" i="2"/>
  <c r="BK65" i="2"/>
  <c r="BK12" i="2"/>
  <c r="BK28" i="2"/>
  <c r="BK44" i="2"/>
  <c r="BK60" i="2"/>
  <c r="BK23" i="2"/>
  <c r="BK39" i="2"/>
  <c r="BK55" i="2"/>
  <c r="BK18" i="2"/>
  <c r="BK34" i="2"/>
  <c r="BK50" i="2"/>
  <c r="BK66" i="2"/>
  <c r="BK13" i="2"/>
  <c r="BK29" i="2"/>
  <c r="BK45" i="2"/>
  <c r="BK61" i="2"/>
  <c r="BK24" i="2"/>
  <c r="BK40" i="2"/>
  <c r="BK56" i="2"/>
  <c r="BF13" i="2"/>
  <c r="BF29" i="2"/>
  <c r="BF45" i="2"/>
  <c r="BF61" i="2"/>
  <c r="BF10" i="2"/>
  <c r="BF26" i="2"/>
  <c r="BF42" i="2"/>
  <c r="BF58" i="2"/>
  <c r="BF23" i="2"/>
  <c r="BF39" i="2"/>
  <c r="BF55" i="2"/>
  <c r="BF20" i="2"/>
  <c r="BF36" i="2"/>
  <c r="BF52" i="2"/>
  <c r="BF17" i="2"/>
  <c r="BF33" i="2"/>
  <c r="BF49" i="2"/>
  <c r="BF65" i="2"/>
  <c r="BF14" i="2"/>
  <c r="BF30" i="2"/>
  <c r="BF46" i="2"/>
  <c r="BF62" i="2"/>
  <c r="BF11" i="2"/>
  <c r="BF27" i="2"/>
  <c r="BF43" i="2"/>
  <c r="BF59" i="2"/>
  <c r="BF24" i="2"/>
  <c r="BF40" i="2"/>
  <c r="BF56" i="2"/>
  <c r="BF21" i="2"/>
  <c r="BF37" i="2"/>
  <c r="BF53" i="2"/>
  <c r="BF8" i="2"/>
  <c r="BF18" i="2"/>
  <c r="BF34" i="2"/>
  <c r="BF50" i="2"/>
  <c r="BF66" i="2"/>
  <c r="BF15" i="2"/>
  <c r="BF31" i="2"/>
  <c r="BF47" i="2"/>
  <c r="BF63" i="2"/>
  <c r="BF9" i="2"/>
  <c r="BF12" i="2"/>
  <c r="BF28" i="2"/>
  <c r="BF44" i="2"/>
  <c r="BF60" i="2"/>
  <c r="BF25" i="2"/>
  <c r="BF41" i="2"/>
  <c r="BF57" i="2"/>
  <c r="BF22" i="2"/>
  <c r="BF38" i="2"/>
  <c r="BF54" i="2"/>
  <c r="BF19" i="2"/>
  <c r="BF35" i="2"/>
  <c r="BF51" i="2"/>
  <c r="BF67" i="2"/>
  <c r="BF16" i="2"/>
  <c r="BF32" i="2"/>
  <c r="BF48" i="2"/>
  <c r="BF64" i="2"/>
  <c r="BM45" i="2"/>
  <c r="BM61" i="2"/>
  <c r="BM24" i="2"/>
  <c r="BM40" i="2"/>
  <c r="BM56" i="2"/>
  <c r="BM19" i="2"/>
  <c r="BM35" i="2"/>
  <c r="BM51" i="2"/>
  <c r="BM46" i="2"/>
  <c r="BM62" i="2"/>
  <c r="BM41" i="2"/>
  <c r="BM57" i="2"/>
  <c r="BM20" i="2"/>
  <c r="BM36" i="2"/>
  <c r="BM52" i="2"/>
  <c r="BM15" i="2"/>
  <c r="BM31" i="2"/>
  <c r="BM47" i="2"/>
  <c r="BM63" i="2"/>
  <c r="BM9" i="2"/>
  <c r="BM10" i="2"/>
  <c r="BM58" i="2"/>
  <c r="BM21" i="2"/>
  <c r="BM53" i="2"/>
  <c r="BM16" i="2"/>
  <c r="BM32" i="2"/>
  <c r="BM48" i="2"/>
  <c r="BM64" i="2"/>
  <c r="BM11" i="2"/>
  <c r="BM27" i="2"/>
  <c r="BM43" i="2"/>
  <c r="BM59" i="2"/>
  <c r="BM22" i="2"/>
  <c r="BM38" i="2"/>
  <c r="BM33" i="2"/>
  <c r="BM49" i="2"/>
  <c r="BM12" i="2"/>
  <c r="BM28" i="2"/>
  <c r="BM44" i="2"/>
  <c r="BM60" i="2"/>
  <c r="BM23" i="2"/>
  <c r="BM39" i="2"/>
  <c r="BM55" i="2"/>
  <c r="BM18" i="2"/>
  <c r="BM34" i="2"/>
  <c r="BM50" i="2"/>
  <c r="BM66" i="2"/>
  <c r="BG16" i="2"/>
  <c r="BG32" i="2"/>
  <c r="BG48" i="2"/>
  <c r="BG64" i="2"/>
  <c r="BG13" i="2"/>
  <c r="BG29" i="2"/>
  <c r="BG45" i="2"/>
  <c r="BG61" i="2"/>
  <c r="BG10" i="2"/>
  <c r="BG26" i="2"/>
  <c r="BG42" i="2"/>
  <c r="BG58" i="2"/>
  <c r="BG23" i="2"/>
  <c r="BG39" i="2"/>
  <c r="BG55" i="2"/>
  <c r="BG20" i="2"/>
  <c r="BG36" i="2"/>
  <c r="BG52" i="2"/>
  <c r="BG17" i="2"/>
  <c r="BG33" i="2"/>
  <c r="BG49" i="2"/>
  <c r="BG65" i="2"/>
  <c r="BG14" i="2"/>
  <c r="BG30" i="2"/>
  <c r="BG46" i="2"/>
  <c r="BG62" i="2"/>
  <c r="BG8" i="2"/>
  <c r="BG11" i="2"/>
  <c r="BG27" i="2"/>
  <c r="BG43" i="2"/>
  <c r="BG59" i="2"/>
  <c r="BG24" i="2"/>
  <c r="BG40" i="2"/>
  <c r="BG56" i="2"/>
  <c r="BG21" i="2"/>
  <c r="BG37" i="2"/>
  <c r="BG53" i="2"/>
  <c r="BG18" i="2"/>
  <c r="BG34" i="2"/>
  <c r="BG50" i="2"/>
  <c r="BG66" i="2"/>
  <c r="BG15" i="2"/>
  <c r="BG31" i="2"/>
  <c r="BG47" i="2"/>
  <c r="BG63" i="2"/>
  <c r="BG9" i="2"/>
  <c r="BG12" i="2"/>
  <c r="BG28" i="2"/>
  <c r="BG44" i="2"/>
  <c r="BG60" i="2"/>
  <c r="BG25" i="2"/>
  <c r="BG41" i="2"/>
  <c r="BG57" i="2"/>
  <c r="BG22" i="2"/>
  <c r="BG38" i="2"/>
  <c r="BG54" i="2"/>
  <c r="BG19" i="2"/>
  <c r="BG35" i="2"/>
  <c r="BG51" i="2"/>
  <c r="BG67" i="2"/>
  <c r="BH19" i="2"/>
  <c r="BH35" i="2"/>
  <c r="BH51" i="2"/>
  <c r="BH67" i="2"/>
  <c r="BH16" i="2"/>
  <c r="BH32" i="2"/>
  <c r="BH48" i="2"/>
  <c r="BH64" i="2"/>
  <c r="BH13" i="2"/>
  <c r="BH29" i="2"/>
  <c r="BH45" i="2"/>
  <c r="BH61" i="2"/>
  <c r="BH10" i="2"/>
  <c r="BH26" i="2"/>
  <c r="BH42" i="2"/>
  <c r="BH58" i="2"/>
  <c r="BH23" i="2"/>
  <c r="BH39" i="2"/>
  <c r="BH55" i="2"/>
  <c r="BH20" i="2"/>
  <c r="BH36" i="2"/>
  <c r="BH52" i="2"/>
  <c r="BH17" i="2"/>
  <c r="BH33" i="2"/>
  <c r="BH49" i="2"/>
  <c r="BH65" i="2"/>
  <c r="BH14" i="2"/>
  <c r="BH30" i="2"/>
  <c r="BH46" i="2"/>
  <c r="BH62" i="2"/>
  <c r="BH8" i="2"/>
  <c r="BH11" i="2"/>
  <c r="BH27" i="2"/>
  <c r="BH43" i="2"/>
  <c r="BH59" i="2"/>
  <c r="BH24" i="2"/>
  <c r="BH40" i="2"/>
  <c r="BH56" i="2"/>
  <c r="BH21" i="2"/>
  <c r="BH37" i="2"/>
  <c r="BH53" i="2"/>
  <c r="BH18" i="2"/>
  <c r="BH34" i="2"/>
  <c r="BH50" i="2"/>
  <c r="BH66" i="2"/>
  <c r="BH15" i="2"/>
  <c r="BH31" i="2"/>
  <c r="BH47" i="2"/>
  <c r="BH63" i="2"/>
  <c r="BH9" i="2"/>
  <c r="BH12" i="2"/>
  <c r="BH28" i="2"/>
  <c r="BH44" i="2"/>
  <c r="BH60" i="2"/>
  <c r="BH25" i="2"/>
  <c r="BH41" i="2"/>
  <c r="BH57" i="2"/>
  <c r="BH22" i="2"/>
  <c r="BH38" i="2"/>
  <c r="BH54" i="2"/>
  <c r="AR20" i="2"/>
  <c r="AR36" i="2"/>
  <c r="AR52" i="2"/>
  <c r="AR11" i="2"/>
  <c r="AR27" i="2"/>
  <c r="AR43" i="2"/>
  <c r="AR59" i="2"/>
  <c r="AR8" i="2"/>
  <c r="AR18" i="2"/>
  <c r="AR34" i="2"/>
  <c r="AR50" i="2"/>
  <c r="AR66" i="2"/>
  <c r="AR9" i="2"/>
  <c r="AR25" i="2"/>
  <c r="AR41" i="2"/>
  <c r="AR57" i="2"/>
  <c r="AR16" i="2"/>
  <c r="AR32" i="2"/>
  <c r="AR48" i="2"/>
  <c r="AR64" i="2"/>
  <c r="AR23" i="2"/>
  <c r="AR39" i="2"/>
  <c r="AR55" i="2"/>
  <c r="AR14" i="2"/>
  <c r="AR30" i="2"/>
  <c r="AR46" i="2"/>
  <c r="AR62" i="2"/>
  <c r="AR21" i="2"/>
  <c r="AR37" i="2"/>
  <c r="AR53" i="2"/>
  <c r="AR12" i="2"/>
  <c r="AR28" i="2"/>
  <c r="AR44" i="2"/>
  <c r="AR60" i="2"/>
  <c r="AR19" i="2"/>
  <c r="AR35" i="2"/>
  <c r="AR51" i="2"/>
  <c r="AR10" i="2"/>
  <c r="AR26" i="2"/>
  <c r="AR42" i="2"/>
  <c r="AR58" i="2"/>
  <c r="AR17" i="2"/>
  <c r="AR33" i="2"/>
  <c r="AR49" i="2"/>
  <c r="AR65" i="2"/>
  <c r="AR24" i="2"/>
  <c r="AR40" i="2"/>
  <c r="AR56" i="2"/>
  <c r="AR45" i="2"/>
  <c r="AR61" i="2"/>
  <c r="AR15" i="2"/>
  <c r="AR31" i="2"/>
  <c r="AR47" i="2"/>
  <c r="AR63" i="2"/>
  <c r="AR22" i="2"/>
  <c r="AR38" i="2"/>
  <c r="AR54" i="2"/>
  <c r="AR13" i="2"/>
  <c r="AR29" i="2"/>
  <c r="AP18" i="2"/>
  <c r="AP34" i="2"/>
  <c r="AP50" i="2"/>
  <c r="AP66" i="2"/>
  <c r="AP9" i="2"/>
  <c r="AP25" i="2"/>
  <c r="AP41" i="2"/>
  <c r="AP57" i="2"/>
  <c r="AP16" i="2"/>
  <c r="AP32" i="2"/>
  <c r="AP48" i="2"/>
  <c r="AP64" i="2"/>
  <c r="AP23" i="2"/>
  <c r="AP39" i="2"/>
  <c r="AP55" i="2"/>
  <c r="AP8" i="2"/>
  <c r="AP14" i="2"/>
  <c r="AP30" i="2"/>
  <c r="AP46" i="2"/>
  <c r="AP62" i="2"/>
  <c r="AP21" i="2"/>
  <c r="AP37" i="2"/>
  <c r="AP53" i="2"/>
  <c r="AP12" i="2"/>
  <c r="AP28" i="2"/>
  <c r="AP44" i="2"/>
  <c r="AP60" i="2"/>
  <c r="AP19" i="2"/>
  <c r="AP35" i="2"/>
  <c r="AP51" i="2"/>
  <c r="AP10" i="2"/>
  <c r="AP26" i="2"/>
  <c r="AP42" i="2"/>
  <c r="AP58" i="2"/>
  <c r="AP17" i="2"/>
  <c r="AP33" i="2"/>
  <c r="AP49" i="2"/>
  <c r="AP65" i="2"/>
  <c r="AP24" i="2"/>
  <c r="AP40" i="2"/>
  <c r="AP56" i="2"/>
  <c r="AP15" i="2"/>
  <c r="AP31" i="2"/>
  <c r="AP47" i="2"/>
  <c r="AP63" i="2"/>
  <c r="AP22" i="2"/>
  <c r="AP38" i="2"/>
  <c r="AP54" i="2"/>
  <c r="AP11" i="2"/>
  <c r="AP27" i="2"/>
  <c r="AP13" i="2"/>
  <c r="AP29" i="2"/>
  <c r="AP45" i="2"/>
  <c r="AP61" i="2"/>
  <c r="AP20" i="2"/>
  <c r="AP36" i="2"/>
  <c r="AP52" i="2"/>
  <c r="AP43" i="2"/>
  <c r="AP59" i="2"/>
  <c r="AT13" i="2"/>
  <c r="AT29" i="2"/>
  <c r="AT45" i="2"/>
  <c r="AT61" i="2"/>
  <c r="AT24" i="2"/>
  <c r="AT40" i="2"/>
  <c r="AT56" i="2"/>
  <c r="AT19" i="2"/>
  <c r="AT35" i="2"/>
  <c r="AT51" i="2"/>
  <c r="AT14" i="2"/>
  <c r="AT30" i="2"/>
  <c r="AT46" i="2"/>
  <c r="AT62" i="2"/>
  <c r="AT25" i="2"/>
  <c r="AT41" i="2"/>
  <c r="AT57" i="2"/>
  <c r="AT20" i="2"/>
  <c r="AT36" i="2"/>
  <c r="AT52" i="2"/>
  <c r="AT7" i="2"/>
  <c r="AT15" i="2"/>
  <c r="AT31" i="2"/>
  <c r="AT47" i="2"/>
  <c r="AT63" i="2"/>
  <c r="AT10" i="2"/>
  <c r="AT26" i="2"/>
  <c r="AT42" i="2"/>
  <c r="AT58" i="2"/>
  <c r="AT21" i="2"/>
  <c r="AT37" i="2"/>
  <c r="AT53" i="2"/>
  <c r="AT16" i="2"/>
  <c r="AT32" i="2"/>
  <c r="AT48" i="2"/>
  <c r="AT64" i="2"/>
  <c r="AT11" i="2"/>
  <c r="AT27" i="2"/>
  <c r="AT43" i="2"/>
  <c r="AT59" i="2"/>
  <c r="AT22" i="2"/>
  <c r="AT38" i="2"/>
  <c r="AT54" i="2"/>
  <c r="AV8" i="2"/>
  <c r="AT17" i="2"/>
  <c r="AT33" i="2"/>
  <c r="AT49" i="2"/>
  <c r="AT65" i="2"/>
  <c r="AT9" i="2"/>
  <c r="AT66" i="2"/>
  <c r="AT12" i="2"/>
  <c r="AT28" i="2"/>
  <c r="AT44" i="2"/>
  <c r="AT60" i="2"/>
  <c r="AT23" i="2"/>
  <c r="AT39" i="2"/>
  <c r="AT55" i="2"/>
  <c r="AT18" i="2"/>
  <c r="AT34" i="2"/>
  <c r="AT50" i="2"/>
  <c r="AQ11" i="2"/>
  <c r="AQ27" i="2"/>
  <c r="AQ43" i="2"/>
  <c r="AQ59" i="2"/>
  <c r="AQ18" i="2"/>
  <c r="AQ34" i="2"/>
  <c r="AQ50" i="2"/>
  <c r="AQ66" i="2"/>
  <c r="AQ9" i="2"/>
  <c r="AQ25" i="2"/>
  <c r="AQ41" i="2"/>
  <c r="AQ57" i="2"/>
  <c r="AQ8" i="2"/>
  <c r="AQ16" i="2"/>
  <c r="AQ32" i="2"/>
  <c r="AQ48" i="2"/>
  <c r="AQ64" i="2"/>
  <c r="AQ23" i="2"/>
  <c r="AQ39" i="2"/>
  <c r="AQ55" i="2"/>
  <c r="AQ14" i="2"/>
  <c r="AQ30" i="2"/>
  <c r="AQ46" i="2"/>
  <c r="AQ62" i="2"/>
  <c r="AQ21" i="2"/>
  <c r="AQ37" i="2"/>
  <c r="AQ53" i="2"/>
  <c r="AQ12" i="2"/>
  <c r="AQ28" i="2"/>
  <c r="AQ44" i="2"/>
  <c r="AQ60" i="2"/>
  <c r="AQ19" i="2"/>
  <c r="AQ35" i="2"/>
  <c r="AQ51" i="2"/>
  <c r="AQ10" i="2"/>
  <c r="AQ26" i="2"/>
  <c r="AQ42" i="2"/>
  <c r="AQ58" i="2"/>
  <c r="AQ17" i="2"/>
  <c r="AQ33" i="2"/>
  <c r="AQ49" i="2"/>
  <c r="AQ65" i="2"/>
  <c r="AQ24" i="2"/>
  <c r="AQ40" i="2"/>
  <c r="AQ56" i="2"/>
  <c r="AQ15" i="2"/>
  <c r="AQ31" i="2"/>
  <c r="AQ47" i="2"/>
  <c r="AQ63" i="2"/>
  <c r="AQ20" i="2"/>
  <c r="AQ36" i="2"/>
  <c r="AQ52" i="2"/>
  <c r="AQ22" i="2"/>
  <c r="AQ38" i="2"/>
  <c r="AQ54" i="2"/>
  <c r="AQ13" i="2"/>
  <c r="AQ29" i="2"/>
  <c r="AQ45" i="2"/>
  <c r="AQ61" i="2"/>
  <c r="AO9" i="2"/>
  <c r="AO25" i="2"/>
  <c r="AO41" i="2"/>
  <c r="AO57" i="2"/>
  <c r="AO16" i="2"/>
  <c r="AO32" i="2"/>
  <c r="AO48" i="2"/>
  <c r="AO64" i="2"/>
  <c r="AO23" i="2"/>
  <c r="AO39" i="2"/>
  <c r="AO55" i="2"/>
  <c r="AO14" i="2"/>
  <c r="AO30" i="2"/>
  <c r="AO46" i="2"/>
  <c r="AO62" i="2"/>
  <c r="AO21" i="2"/>
  <c r="AO37" i="2"/>
  <c r="AO53" i="2"/>
  <c r="AO8" i="2"/>
  <c r="AO12" i="2"/>
  <c r="AO28" i="2"/>
  <c r="AO44" i="2"/>
  <c r="AO60" i="2"/>
  <c r="AO19" i="2"/>
  <c r="AO35" i="2"/>
  <c r="AO51" i="2"/>
  <c r="AO10" i="2"/>
  <c r="AO26" i="2"/>
  <c r="AO42" i="2"/>
  <c r="AO58" i="2"/>
  <c r="AO17" i="2"/>
  <c r="AO33" i="2"/>
  <c r="AO49" i="2"/>
  <c r="AO65" i="2"/>
  <c r="AO24" i="2"/>
  <c r="AO40" i="2"/>
  <c r="AO56" i="2"/>
  <c r="AO15" i="2"/>
  <c r="AO31" i="2"/>
  <c r="AO47" i="2"/>
  <c r="AO63" i="2"/>
  <c r="AO22" i="2"/>
  <c r="AO38" i="2"/>
  <c r="AO54" i="2"/>
  <c r="AO66" i="2"/>
  <c r="AO13" i="2"/>
  <c r="AO29" i="2"/>
  <c r="AO45" i="2"/>
  <c r="AO61" i="2"/>
  <c r="AO20" i="2"/>
  <c r="AO36" i="2"/>
  <c r="AO52" i="2"/>
  <c r="AO11" i="2"/>
  <c r="AO27" i="2"/>
  <c r="AO43" i="2"/>
  <c r="AO59" i="2"/>
  <c r="AO18" i="2"/>
  <c r="AO34" i="2"/>
  <c r="AO50" i="2"/>
  <c r="AM23" i="2"/>
  <c r="AM39" i="2"/>
  <c r="AM55" i="2"/>
  <c r="AM14" i="2"/>
  <c r="AM30" i="2"/>
  <c r="AM46" i="2"/>
  <c r="AM62" i="2"/>
  <c r="AM21" i="2"/>
  <c r="AM37" i="2"/>
  <c r="AM53" i="2"/>
  <c r="AM12" i="2"/>
  <c r="AM28" i="2"/>
  <c r="AM44" i="2"/>
  <c r="AM60" i="2"/>
  <c r="AM19" i="2"/>
  <c r="AM35" i="2"/>
  <c r="AM51" i="2"/>
  <c r="AM10" i="2"/>
  <c r="AM26" i="2"/>
  <c r="AM42" i="2"/>
  <c r="AM58" i="2"/>
  <c r="AM17" i="2"/>
  <c r="AM33" i="2"/>
  <c r="AM49" i="2"/>
  <c r="AM65" i="2"/>
  <c r="AM8" i="2"/>
  <c r="AM24" i="2"/>
  <c r="AM40" i="2"/>
  <c r="AM56" i="2"/>
  <c r="AM15" i="2"/>
  <c r="AM31" i="2"/>
  <c r="AM47" i="2"/>
  <c r="AM63" i="2"/>
  <c r="AM22" i="2"/>
  <c r="AM38" i="2"/>
  <c r="AM54" i="2"/>
  <c r="AM13" i="2"/>
  <c r="AM29" i="2"/>
  <c r="AM45" i="2"/>
  <c r="AM61" i="2"/>
  <c r="AM20" i="2"/>
  <c r="AM36" i="2"/>
  <c r="AM52" i="2"/>
  <c r="AM11" i="2"/>
  <c r="AM27" i="2"/>
  <c r="AM43" i="2"/>
  <c r="AM59" i="2"/>
  <c r="AM16" i="2"/>
  <c r="AM32" i="2"/>
  <c r="AM18" i="2"/>
  <c r="AM34" i="2"/>
  <c r="AM50" i="2"/>
  <c r="AM66" i="2"/>
  <c r="AM9" i="2"/>
  <c r="AM25" i="2"/>
  <c r="AM41" i="2"/>
  <c r="AM57" i="2"/>
  <c r="AM48" i="2"/>
  <c r="AM64" i="2"/>
  <c r="I13" i="2"/>
  <c r="I10" i="2"/>
  <c r="I27" i="2"/>
  <c r="I35" i="2"/>
  <c r="L36" i="2"/>
  <c r="I16" i="2"/>
  <c r="I12" i="2"/>
  <c r="I20" i="2"/>
  <c r="I32" i="2"/>
  <c r="L11" i="2"/>
  <c r="L20" i="2"/>
  <c r="I29" i="2"/>
  <c r="L18" i="2"/>
  <c r="L26" i="2"/>
  <c r="M8" i="2"/>
  <c r="M9" i="2" s="1"/>
  <c r="L23" i="2"/>
  <c r="L14" i="2"/>
  <c r="L10" i="2"/>
  <c r="L24" i="2"/>
  <c r="L33" i="2"/>
  <c r="L31" i="2"/>
  <c r="L28" i="2"/>
  <c r="L21" i="2"/>
  <c r="L17" i="2"/>
  <c r="L15" i="2"/>
  <c r="L12" i="2"/>
  <c r="N8" i="2"/>
  <c r="L27" i="2"/>
  <c r="L25" i="2"/>
  <c r="L32" i="2"/>
  <c r="L29" i="2"/>
  <c r="L22" i="2"/>
  <c r="L34" i="2"/>
  <c r="L16" i="2"/>
  <c r="L13" i="2"/>
  <c r="L35" i="2"/>
  <c r="L9" i="2"/>
  <c r="J9" i="2"/>
  <c r="J25" i="2"/>
  <c r="J10" i="2"/>
  <c r="J26" i="2"/>
  <c r="J11" i="2"/>
  <c r="J27" i="2"/>
  <c r="J12" i="2"/>
  <c r="J28" i="2"/>
  <c r="J13" i="2"/>
  <c r="J29" i="2"/>
  <c r="J14" i="2"/>
  <c r="J30" i="2"/>
  <c r="J15" i="2"/>
  <c r="J31" i="2"/>
  <c r="J16" i="2"/>
  <c r="J32" i="2"/>
  <c r="J17" i="2"/>
  <c r="J33" i="2"/>
  <c r="J18" i="2"/>
  <c r="J34" i="2"/>
  <c r="J19" i="2"/>
  <c r="J35" i="2"/>
  <c r="J20" i="2"/>
  <c r="J36" i="2"/>
  <c r="J21" i="2"/>
  <c r="J8" i="2"/>
  <c r="J22" i="2"/>
  <c r="J23" i="2"/>
  <c r="J24" i="2"/>
  <c r="I11" i="2"/>
  <c r="I36" i="2"/>
  <c r="F21" i="2"/>
  <c r="F8" i="2"/>
  <c r="F22" i="2"/>
  <c r="F23" i="2"/>
  <c r="F24" i="2"/>
  <c r="F9" i="2"/>
  <c r="F25" i="2"/>
  <c r="F30" i="2"/>
  <c r="F10" i="2"/>
  <c r="F26" i="2"/>
  <c r="F14" i="2"/>
  <c r="F19" i="2"/>
  <c r="F11" i="2"/>
  <c r="F27" i="2"/>
  <c r="F12" i="2"/>
  <c r="F28" i="2"/>
  <c r="F35" i="2"/>
  <c r="F13" i="2"/>
  <c r="F29" i="2"/>
  <c r="F15" i="2"/>
  <c r="F31" i="2"/>
  <c r="F16" i="2"/>
  <c r="F32" i="2"/>
  <c r="F34" i="2"/>
  <c r="F17" i="2"/>
  <c r="F33" i="2"/>
  <c r="F18" i="2"/>
  <c r="F20" i="2"/>
  <c r="F36" i="2"/>
  <c r="G19" i="2"/>
  <c r="G35" i="2"/>
  <c r="G20" i="2"/>
  <c r="G36" i="2"/>
  <c r="G21" i="2"/>
  <c r="G8" i="2"/>
  <c r="G22" i="2"/>
  <c r="G23" i="2"/>
  <c r="G12" i="2"/>
  <c r="G24" i="2"/>
  <c r="G9" i="2"/>
  <c r="G25" i="2"/>
  <c r="G10" i="2"/>
  <c r="G26" i="2"/>
  <c r="G11" i="2"/>
  <c r="G27" i="2"/>
  <c r="G28" i="2"/>
  <c r="G13" i="2"/>
  <c r="G29" i="2"/>
  <c r="G14" i="2"/>
  <c r="G30" i="2"/>
  <c r="G32" i="2"/>
  <c r="G15" i="2"/>
  <c r="G31" i="2"/>
  <c r="G16" i="2"/>
  <c r="G17" i="2"/>
  <c r="G33" i="2"/>
  <c r="G18" i="2"/>
  <c r="G34" i="2"/>
  <c r="I8" i="2"/>
  <c r="H17" i="2"/>
  <c r="H33" i="2"/>
  <c r="H18" i="2"/>
  <c r="H34" i="2"/>
  <c r="H19" i="2"/>
  <c r="H35" i="2"/>
  <c r="H20" i="2"/>
  <c r="H36" i="2"/>
  <c r="H26" i="2"/>
  <c r="H21" i="2"/>
  <c r="H8" i="2"/>
  <c r="H22" i="2"/>
  <c r="H23" i="2"/>
  <c r="H10" i="2"/>
  <c r="H24" i="2"/>
  <c r="H9" i="2"/>
  <c r="H25" i="2"/>
  <c r="H11" i="2"/>
  <c r="H27" i="2"/>
  <c r="H12" i="2"/>
  <c r="H28" i="2"/>
  <c r="H13" i="2"/>
  <c r="H29" i="2"/>
  <c r="H14" i="2"/>
  <c r="H30" i="2"/>
  <c r="H15" i="2"/>
  <c r="H31" i="2"/>
  <c r="H16" i="2"/>
  <c r="H32" i="2"/>
  <c r="I9" i="2"/>
  <c r="I17" i="2"/>
  <c r="I19" i="2"/>
  <c r="I21" i="2"/>
  <c r="I22" i="2"/>
  <c r="I23" i="2"/>
  <c r="I24" i="2"/>
  <c r="I15" i="2"/>
  <c r="I28" i="2"/>
  <c r="I14" i="2"/>
  <c r="I18" i="2"/>
  <c r="N14" i="2"/>
  <c r="N19" i="2"/>
  <c r="N20" i="2"/>
  <c r="N24" i="2"/>
  <c r="N25" i="2"/>
  <c r="I30" i="2"/>
  <c r="I34" i="2"/>
  <c r="I25" i="2"/>
  <c r="BM29" i="2" l="1"/>
  <c r="BM65" i="2"/>
  <c r="BM37" i="2"/>
  <c r="BM25" i="2"/>
  <c r="BM13" i="2"/>
  <c r="BM17" i="2"/>
  <c r="BM42" i="2"/>
  <c r="BM30" i="2"/>
  <c r="BM54" i="2"/>
  <c r="BM26" i="2"/>
  <c r="BM14" i="2"/>
  <c r="BM7" i="2"/>
  <c r="BM74" i="2"/>
  <c r="BM90" i="2"/>
  <c r="BM106" i="2"/>
  <c r="BM122" i="2"/>
  <c r="BM138" i="2"/>
  <c r="BM154" i="2"/>
  <c r="BM126" i="2"/>
  <c r="BM77" i="2"/>
  <c r="BM93" i="2"/>
  <c r="BM109" i="2"/>
  <c r="BM125" i="2"/>
  <c r="BM141" i="2"/>
  <c r="BM157" i="2"/>
  <c r="BM150" i="2"/>
  <c r="BM135" i="2"/>
  <c r="BM80" i="2"/>
  <c r="BM96" i="2"/>
  <c r="BM112" i="2"/>
  <c r="BM128" i="2"/>
  <c r="BM144" i="2"/>
  <c r="BM83" i="2"/>
  <c r="BM99" i="2"/>
  <c r="BM115" i="2"/>
  <c r="BM131" i="2"/>
  <c r="BM147" i="2"/>
  <c r="BM70" i="2"/>
  <c r="BM86" i="2"/>
  <c r="BM102" i="2"/>
  <c r="BM118" i="2"/>
  <c r="BM134" i="2"/>
  <c r="BM73" i="2"/>
  <c r="BM89" i="2"/>
  <c r="BM105" i="2"/>
  <c r="BM121" i="2"/>
  <c r="BM137" i="2"/>
  <c r="BM153" i="2"/>
  <c r="BM156" i="2"/>
  <c r="BM76" i="2"/>
  <c r="BM92" i="2"/>
  <c r="BM108" i="2"/>
  <c r="BM124" i="2"/>
  <c r="BM140" i="2"/>
  <c r="BM119" i="2"/>
  <c r="BM79" i="2"/>
  <c r="BM95" i="2"/>
  <c r="BM111" i="2"/>
  <c r="BM127" i="2"/>
  <c r="BM143" i="2"/>
  <c r="BM103" i="2"/>
  <c r="BM69" i="2"/>
  <c r="BM82" i="2"/>
  <c r="BM98" i="2"/>
  <c r="BM114" i="2"/>
  <c r="BM130" i="2"/>
  <c r="BM146" i="2"/>
  <c r="BM85" i="2"/>
  <c r="BM101" i="2"/>
  <c r="BM117" i="2"/>
  <c r="BM133" i="2"/>
  <c r="BM149" i="2"/>
  <c r="BM152" i="2"/>
  <c r="BM139" i="2"/>
  <c r="BM87" i="2"/>
  <c r="BM72" i="2"/>
  <c r="BM88" i="2"/>
  <c r="BM104" i="2"/>
  <c r="BM120" i="2"/>
  <c r="BM136" i="2"/>
  <c r="BM75" i="2"/>
  <c r="BM91" i="2"/>
  <c r="BM107" i="2"/>
  <c r="BM123" i="2"/>
  <c r="BM155" i="2"/>
  <c r="BM68" i="2"/>
  <c r="BM78" i="2"/>
  <c r="BM94" i="2"/>
  <c r="BM110" i="2"/>
  <c r="BM142" i="2"/>
  <c r="BM81" i="2"/>
  <c r="BM97" i="2"/>
  <c r="BM113" i="2"/>
  <c r="BM129" i="2"/>
  <c r="BM145" i="2"/>
  <c r="BM71" i="2"/>
  <c r="BM84" i="2"/>
  <c r="BM100" i="2"/>
  <c r="BM116" i="2"/>
  <c r="BM132" i="2"/>
  <c r="BM148" i="2"/>
  <c r="BM151" i="2"/>
  <c r="BL77" i="2"/>
  <c r="BL93" i="2"/>
  <c r="BL109" i="2"/>
  <c r="BL125" i="2"/>
  <c r="BL141" i="2"/>
  <c r="BL157" i="2"/>
  <c r="BL80" i="2"/>
  <c r="BL96" i="2"/>
  <c r="BL112" i="2"/>
  <c r="BL128" i="2"/>
  <c r="BL144" i="2"/>
  <c r="BL147" i="2"/>
  <c r="BL121" i="2"/>
  <c r="BL122" i="2"/>
  <c r="BL83" i="2"/>
  <c r="BL99" i="2"/>
  <c r="BL115" i="2"/>
  <c r="BL131" i="2"/>
  <c r="BL70" i="2"/>
  <c r="BL86" i="2"/>
  <c r="BL102" i="2"/>
  <c r="BL118" i="2"/>
  <c r="BL134" i="2"/>
  <c r="BL150" i="2"/>
  <c r="BL137" i="2"/>
  <c r="BL153" i="2"/>
  <c r="BL73" i="2"/>
  <c r="BL89" i="2"/>
  <c r="BL105" i="2"/>
  <c r="BL76" i="2"/>
  <c r="BL92" i="2"/>
  <c r="BL108" i="2"/>
  <c r="BL124" i="2"/>
  <c r="BL140" i="2"/>
  <c r="BL156" i="2"/>
  <c r="BL143" i="2"/>
  <c r="BL129" i="2"/>
  <c r="BL79" i="2"/>
  <c r="BL95" i="2"/>
  <c r="BL111" i="2"/>
  <c r="BL127" i="2"/>
  <c r="BL69" i="2"/>
  <c r="BL82" i="2"/>
  <c r="BL98" i="2"/>
  <c r="BL114" i="2"/>
  <c r="BL130" i="2"/>
  <c r="BL146" i="2"/>
  <c r="BL154" i="2"/>
  <c r="BL85" i="2"/>
  <c r="BL101" i="2"/>
  <c r="BL117" i="2"/>
  <c r="BL133" i="2"/>
  <c r="BL149" i="2"/>
  <c r="BL142" i="2"/>
  <c r="BL72" i="2"/>
  <c r="BL88" i="2"/>
  <c r="BL104" i="2"/>
  <c r="BL120" i="2"/>
  <c r="BL136" i="2"/>
  <c r="BL152" i="2"/>
  <c r="BL123" i="2"/>
  <c r="BL155" i="2"/>
  <c r="BL75" i="2"/>
  <c r="BL91" i="2"/>
  <c r="BL107" i="2"/>
  <c r="BL139" i="2"/>
  <c r="BL145" i="2"/>
  <c r="BL106" i="2"/>
  <c r="BL68" i="2"/>
  <c r="BL78" i="2"/>
  <c r="BL94" i="2"/>
  <c r="BL110" i="2"/>
  <c r="BL126" i="2"/>
  <c r="BL81" i="2"/>
  <c r="BL97" i="2"/>
  <c r="BL113" i="2"/>
  <c r="BL84" i="2"/>
  <c r="BL100" i="2"/>
  <c r="BL116" i="2"/>
  <c r="BL132" i="2"/>
  <c r="BL148" i="2"/>
  <c r="BL74" i="2"/>
  <c r="BL90" i="2"/>
  <c r="BL138" i="2"/>
  <c r="BL71" i="2"/>
  <c r="BL87" i="2"/>
  <c r="BL103" i="2"/>
  <c r="BL119" i="2"/>
  <c r="BL135" i="2"/>
  <c r="BL151" i="2"/>
  <c r="AV144" i="2"/>
  <c r="AV148" i="2"/>
  <c r="AV152" i="2"/>
  <c r="AV156" i="2"/>
  <c r="AV124" i="2"/>
  <c r="AV128" i="2"/>
  <c r="AV141" i="2"/>
  <c r="AV145" i="2"/>
  <c r="AV149" i="2"/>
  <c r="AV153" i="2"/>
  <c r="AV157" i="2"/>
  <c r="AV125" i="2"/>
  <c r="AV129" i="2"/>
  <c r="AV133" i="2"/>
  <c r="AV137" i="2"/>
  <c r="AV74" i="2"/>
  <c r="AV94" i="2"/>
  <c r="AV111" i="2"/>
  <c r="AV103" i="2"/>
  <c r="AV67" i="2"/>
  <c r="AV72" i="2"/>
  <c r="AV86" i="2"/>
  <c r="AV96" i="2"/>
  <c r="AV101" i="2"/>
  <c r="AV106" i="2"/>
  <c r="AV155" i="2"/>
  <c r="AV122" i="2"/>
  <c r="AV136" i="2"/>
  <c r="AV79" i="2"/>
  <c r="AV84" i="2"/>
  <c r="AV134" i="2"/>
  <c r="AV70" i="2"/>
  <c r="AV98" i="2"/>
  <c r="AV82" i="2"/>
  <c r="AV89" i="2"/>
  <c r="AV115" i="2"/>
  <c r="AV104" i="2"/>
  <c r="AV131" i="2"/>
  <c r="AV139" i="2"/>
  <c r="AV77" i="2"/>
  <c r="AV108" i="2"/>
  <c r="AV113" i="2"/>
  <c r="AV118" i="2"/>
  <c r="AV120" i="2"/>
  <c r="AV142" i="2"/>
  <c r="AV68" i="2"/>
  <c r="AV146" i="2"/>
  <c r="AV123" i="2"/>
  <c r="AV126" i="2"/>
  <c r="AV75" i="2"/>
  <c r="AV80" i="2"/>
  <c r="AV93" i="2"/>
  <c r="AV100" i="2"/>
  <c r="AV105" i="2"/>
  <c r="AV110" i="2"/>
  <c r="AV85" i="2"/>
  <c r="AV87" i="2"/>
  <c r="AV117" i="2"/>
  <c r="AV119" i="2"/>
  <c r="AV109" i="2"/>
  <c r="AV73" i="2"/>
  <c r="AV91" i="2"/>
  <c r="AV150" i="2"/>
  <c r="AV95" i="2"/>
  <c r="AV112" i="2"/>
  <c r="AV143" i="2"/>
  <c r="AV132" i="2"/>
  <c r="AV140" i="2"/>
  <c r="AV107" i="2"/>
  <c r="AV147" i="2"/>
  <c r="AV135" i="2"/>
  <c r="AV78" i="2"/>
  <c r="AV97" i="2"/>
  <c r="AV102" i="2"/>
  <c r="AV114" i="2"/>
  <c r="AV81" i="2"/>
  <c r="AV127" i="2"/>
  <c r="AV71" i="2"/>
  <c r="AV76" i="2"/>
  <c r="AV151" i="2"/>
  <c r="AV154" i="2"/>
  <c r="AV130" i="2"/>
  <c r="AV138" i="2"/>
  <c r="AV69" i="2"/>
  <c r="AV83" i="2"/>
  <c r="AV88" i="2"/>
  <c r="AV90" i="2"/>
  <c r="AV121" i="2"/>
  <c r="AV99" i="2"/>
  <c r="AV92" i="2"/>
  <c r="AV116" i="2"/>
  <c r="AU144" i="2"/>
  <c r="AU148" i="2"/>
  <c r="AU152" i="2"/>
  <c r="AU156" i="2"/>
  <c r="AU124" i="2"/>
  <c r="AU128" i="2"/>
  <c r="AU132" i="2"/>
  <c r="AU136" i="2"/>
  <c r="AU140" i="2"/>
  <c r="AU70" i="2"/>
  <c r="AU74" i="2"/>
  <c r="AU78" i="2"/>
  <c r="AU82" i="2"/>
  <c r="AU86" i="2"/>
  <c r="AU90" i="2"/>
  <c r="AU94" i="2"/>
  <c r="AU98" i="2"/>
  <c r="AU102" i="2"/>
  <c r="AU106" i="2"/>
  <c r="AU110" i="2"/>
  <c r="AU114" i="2"/>
  <c r="AU118" i="2"/>
  <c r="AU131" i="2"/>
  <c r="AU135" i="2"/>
  <c r="AU69" i="2"/>
  <c r="AU73" i="2"/>
  <c r="AU81" i="2"/>
  <c r="AU89" i="2"/>
  <c r="AU139" i="2"/>
  <c r="AU77" i="2"/>
  <c r="AU85" i="2"/>
  <c r="AU143" i="2"/>
  <c r="AU147" i="2"/>
  <c r="AU151" i="2"/>
  <c r="AU155" i="2"/>
  <c r="AU123" i="2"/>
  <c r="AU127" i="2"/>
  <c r="AU141" i="2"/>
  <c r="AU145" i="2"/>
  <c r="AU149" i="2"/>
  <c r="AU133" i="2"/>
  <c r="AU67" i="2"/>
  <c r="AU72" i="2"/>
  <c r="AU96" i="2"/>
  <c r="AU101" i="2"/>
  <c r="AU120" i="2"/>
  <c r="AU122" i="2"/>
  <c r="AU79" i="2"/>
  <c r="AU84" i="2"/>
  <c r="AU108" i="2"/>
  <c r="AU113" i="2"/>
  <c r="AU134" i="2"/>
  <c r="AU75" i="2"/>
  <c r="AU93" i="2"/>
  <c r="AU125" i="2"/>
  <c r="AU103" i="2"/>
  <c r="AU68" i="2"/>
  <c r="AU100" i="2"/>
  <c r="AU105" i="2"/>
  <c r="AU142" i="2"/>
  <c r="AU146" i="2"/>
  <c r="AU126" i="2"/>
  <c r="AU80" i="2"/>
  <c r="AU91" i="2"/>
  <c r="AU107" i="2"/>
  <c r="AU83" i="2"/>
  <c r="AU104" i="2"/>
  <c r="AU150" i="2"/>
  <c r="AU129" i="2"/>
  <c r="AU137" i="2"/>
  <c r="AU87" i="2"/>
  <c r="AU95" i="2"/>
  <c r="AU112" i="2"/>
  <c r="AU117" i="2"/>
  <c r="AU76" i="2"/>
  <c r="AU99" i="2"/>
  <c r="AU153" i="2"/>
  <c r="AU97" i="2"/>
  <c r="AU71" i="2"/>
  <c r="AU119" i="2"/>
  <c r="AU109" i="2"/>
  <c r="AU157" i="2"/>
  <c r="AU154" i="2"/>
  <c r="AU130" i="2"/>
  <c r="AU138" i="2"/>
  <c r="AU88" i="2"/>
  <c r="AU92" i="2"/>
  <c r="AU121" i="2"/>
  <c r="AU115" i="2"/>
  <c r="AU116" i="2"/>
  <c r="AU111" i="2"/>
  <c r="AE79" i="2"/>
  <c r="AE95" i="2"/>
  <c r="AE82" i="2"/>
  <c r="AE98" i="2"/>
  <c r="AE114" i="2"/>
  <c r="AE130" i="2"/>
  <c r="AE69" i="2"/>
  <c r="AE85" i="2"/>
  <c r="AE101" i="2"/>
  <c r="AE117" i="2"/>
  <c r="AE133" i="2"/>
  <c r="AE149" i="2"/>
  <c r="AE72" i="2"/>
  <c r="AE88" i="2"/>
  <c r="AE104" i="2"/>
  <c r="AE120" i="2"/>
  <c r="AE136" i="2"/>
  <c r="AE152" i="2"/>
  <c r="AE91" i="2"/>
  <c r="AE75" i="2"/>
  <c r="AE107" i="2"/>
  <c r="AE123" i="2"/>
  <c r="AE78" i="2"/>
  <c r="AE94" i="2"/>
  <c r="AE110" i="2"/>
  <c r="AE126" i="2"/>
  <c r="AE142" i="2"/>
  <c r="AE81" i="2"/>
  <c r="AE97" i="2"/>
  <c r="AE113" i="2"/>
  <c r="AE129" i="2"/>
  <c r="AE145" i="2"/>
  <c r="AE68" i="2"/>
  <c r="AE87" i="2"/>
  <c r="AE100" i="2"/>
  <c r="AE102" i="2"/>
  <c r="AE138" i="2"/>
  <c r="AE151" i="2"/>
  <c r="AE150" i="2"/>
  <c r="AE135" i="2"/>
  <c r="AE77" i="2"/>
  <c r="AE92" i="2"/>
  <c r="AE132" i="2"/>
  <c r="AE140" i="2"/>
  <c r="AE144" i="2"/>
  <c r="AE90" i="2"/>
  <c r="AE119" i="2"/>
  <c r="AE121" i="2"/>
  <c r="AE134" i="2"/>
  <c r="AE153" i="2"/>
  <c r="AE70" i="2"/>
  <c r="AE122" i="2"/>
  <c r="AE124" i="2"/>
  <c r="AE83" i="2"/>
  <c r="AE96" i="2"/>
  <c r="AE115" i="2"/>
  <c r="AE139" i="2"/>
  <c r="AE141" i="2"/>
  <c r="AE106" i="2"/>
  <c r="AE108" i="2"/>
  <c r="AE137" i="2"/>
  <c r="AE112" i="2"/>
  <c r="AE155" i="2"/>
  <c r="AE148" i="2"/>
  <c r="AE80" i="2"/>
  <c r="AE103" i="2"/>
  <c r="AE105" i="2"/>
  <c r="AE128" i="2"/>
  <c r="AE146" i="2"/>
  <c r="AE67" i="2"/>
  <c r="AE93" i="2"/>
  <c r="AE157" i="2"/>
  <c r="AE74" i="2"/>
  <c r="AE147" i="2"/>
  <c r="AE84" i="2"/>
  <c r="AE156" i="2"/>
  <c r="AE143" i="2"/>
  <c r="AE131" i="2"/>
  <c r="AE154" i="2"/>
  <c r="AE71" i="2"/>
  <c r="AE125" i="2"/>
  <c r="AE118" i="2"/>
  <c r="AE111" i="2"/>
  <c r="AE73" i="2"/>
  <c r="AE89" i="2"/>
  <c r="AE127" i="2"/>
  <c r="AE76" i="2"/>
  <c r="AE116" i="2"/>
  <c r="AE86" i="2"/>
  <c r="AE109" i="2"/>
  <c r="AE99" i="2"/>
  <c r="AD82" i="2"/>
  <c r="AD98" i="2"/>
  <c r="AD69" i="2"/>
  <c r="AD85" i="2"/>
  <c r="AD101" i="2"/>
  <c r="AD117" i="2"/>
  <c r="AD133" i="2"/>
  <c r="AD72" i="2"/>
  <c r="AD88" i="2"/>
  <c r="AD104" i="2"/>
  <c r="AD120" i="2"/>
  <c r="AD136" i="2"/>
  <c r="AD152" i="2"/>
  <c r="AD75" i="2"/>
  <c r="AD91" i="2"/>
  <c r="AD107" i="2"/>
  <c r="AD123" i="2"/>
  <c r="AD139" i="2"/>
  <c r="AD155" i="2"/>
  <c r="AD94" i="2"/>
  <c r="AD110" i="2"/>
  <c r="AD78" i="2"/>
  <c r="AD81" i="2"/>
  <c r="AD97" i="2"/>
  <c r="AD113" i="2"/>
  <c r="AD129" i="2"/>
  <c r="AD68" i="2"/>
  <c r="AD84" i="2"/>
  <c r="AD100" i="2"/>
  <c r="AD116" i="2"/>
  <c r="AD132" i="2"/>
  <c r="AD148" i="2"/>
  <c r="AD79" i="2"/>
  <c r="AD77" i="2"/>
  <c r="AD92" i="2"/>
  <c r="AD140" i="2"/>
  <c r="AD142" i="2"/>
  <c r="AD144" i="2"/>
  <c r="AD90" i="2"/>
  <c r="AD119" i="2"/>
  <c r="AD121" i="2"/>
  <c r="AD134" i="2"/>
  <c r="AD153" i="2"/>
  <c r="AD112" i="2"/>
  <c r="AD114" i="2"/>
  <c r="AD157" i="2"/>
  <c r="AD70" i="2"/>
  <c r="AD122" i="2"/>
  <c r="AD124" i="2"/>
  <c r="AD83" i="2"/>
  <c r="AD96" i="2"/>
  <c r="AD115" i="2"/>
  <c r="AD135" i="2"/>
  <c r="AD106" i="2"/>
  <c r="AD137" i="2"/>
  <c r="AD73" i="2"/>
  <c r="AD143" i="2"/>
  <c r="AD80" i="2"/>
  <c r="AD95" i="2"/>
  <c r="AD103" i="2"/>
  <c r="AD105" i="2"/>
  <c r="AD128" i="2"/>
  <c r="AD146" i="2"/>
  <c r="AD141" i="2"/>
  <c r="AD108" i="2"/>
  <c r="AD145" i="2"/>
  <c r="AD67" i="2"/>
  <c r="AD93" i="2"/>
  <c r="AD126" i="2"/>
  <c r="AD130" i="2"/>
  <c r="AD150" i="2"/>
  <c r="AD76" i="2"/>
  <c r="AD86" i="2"/>
  <c r="AD71" i="2"/>
  <c r="AD102" i="2"/>
  <c r="AD125" i="2"/>
  <c r="AD138" i="2"/>
  <c r="AD149" i="2"/>
  <c r="AD87" i="2"/>
  <c r="AD111" i="2"/>
  <c r="AD89" i="2"/>
  <c r="AD127" i="2"/>
  <c r="AD156" i="2"/>
  <c r="AD99" i="2"/>
  <c r="AD131" i="2"/>
  <c r="AD154" i="2"/>
  <c r="AD74" i="2"/>
  <c r="AD147" i="2"/>
  <c r="AD109" i="2"/>
  <c r="AD151" i="2"/>
  <c r="AD118" i="2"/>
  <c r="N34" i="2"/>
  <c r="N39" i="2"/>
  <c r="N43" i="2"/>
  <c r="N47" i="2"/>
  <c r="N51" i="2"/>
  <c r="N55" i="2"/>
  <c r="N59" i="2"/>
  <c r="N63" i="2"/>
  <c r="N67" i="2"/>
  <c r="N71" i="2"/>
  <c r="N75" i="2"/>
  <c r="N79" i="2"/>
  <c r="N83" i="2"/>
  <c r="N87" i="2"/>
  <c r="N91" i="2"/>
  <c r="N95" i="2"/>
  <c r="N99" i="2"/>
  <c r="N103" i="2"/>
  <c r="N107" i="2"/>
  <c r="N111" i="2"/>
  <c r="N115" i="2"/>
  <c r="N119" i="2"/>
  <c r="N123" i="2"/>
  <c r="N127" i="2"/>
  <c r="N131" i="2"/>
  <c r="N135" i="2"/>
  <c r="N139" i="2"/>
  <c r="N143" i="2"/>
  <c r="N147" i="2"/>
  <c r="N154" i="2"/>
  <c r="N38" i="2"/>
  <c r="N42" i="2"/>
  <c r="N46" i="2"/>
  <c r="N50" i="2"/>
  <c r="N54" i="2"/>
  <c r="N58" i="2"/>
  <c r="N62" i="2"/>
  <c r="N66" i="2"/>
  <c r="N70" i="2"/>
  <c r="N74" i="2"/>
  <c r="N78" i="2"/>
  <c r="N82" i="2"/>
  <c r="N86" i="2"/>
  <c r="N90" i="2"/>
  <c r="N94" i="2"/>
  <c r="N98" i="2"/>
  <c r="N102" i="2"/>
  <c r="N106" i="2"/>
  <c r="N110" i="2"/>
  <c r="N114" i="2"/>
  <c r="N118" i="2"/>
  <c r="N122" i="2"/>
  <c r="N126" i="2"/>
  <c r="N130" i="2"/>
  <c r="N134" i="2"/>
  <c r="N138" i="2"/>
  <c r="N142" i="2"/>
  <c r="N146" i="2"/>
  <c r="N153" i="2"/>
  <c r="N157" i="2"/>
  <c r="N37" i="2"/>
  <c r="N41" i="2"/>
  <c r="N45" i="2"/>
  <c r="N49" i="2"/>
  <c r="N53" i="2"/>
  <c r="N57" i="2"/>
  <c r="N61" i="2"/>
  <c r="N65" i="2"/>
  <c r="N69" i="2"/>
  <c r="N73" i="2"/>
  <c r="N77" i="2"/>
  <c r="N81" i="2"/>
  <c r="N85" i="2"/>
  <c r="N89" i="2"/>
  <c r="N93" i="2"/>
  <c r="N97" i="2"/>
  <c r="N101" i="2"/>
  <c r="N105" i="2"/>
  <c r="N109" i="2"/>
  <c r="N113" i="2"/>
  <c r="N117" i="2"/>
  <c r="N121" i="2"/>
  <c r="N125" i="2"/>
  <c r="N129" i="2"/>
  <c r="N133" i="2"/>
  <c r="N137" i="2"/>
  <c r="N141" i="2"/>
  <c r="N145" i="2"/>
  <c r="N149" i="2"/>
  <c r="N152" i="2"/>
  <c r="N156" i="2"/>
  <c r="N151" i="2"/>
  <c r="N155" i="2"/>
  <c r="N40" i="2"/>
  <c r="N44" i="2"/>
  <c r="N48" i="2"/>
  <c r="N52" i="2"/>
  <c r="N56" i="2"/>
  <c r="N60" i="2"/>
  <c r="N64" i="2"/>
  <c r="N68" i="2"/>
  <c r="N72" i="2"/>
  <c r="N76" i="2"/>
  <c r="N80" i="2"/>
  <c r="N84" i="2"/>
  <c r="N88" i="2"/>
  <c r="N92" i="2"/>
  <c r="N96" i="2"/>
  <c r="N100" i="2"/>
  <c r="N104" i="2"/>
  <c r="N108" i="2"/>
  <c r="N112" i="2"/>
  <c r="N116" i="2"/>
  <c r="N120" i="2"/>
  <c r="N124" i="2"/>
  <c r="N128" i="2"/>
  <c r="N132" i="2"/>
  <c r="N136" i="2"/>
  <c r="N140" i="2"/>
  <c r="N144" i="2"/>
  <c r="N148" i="2"/>
  <c r="N150" i="2"/>
  <c r="N32" i="2"/>
  <c r="M20" i="2"/>
  <c r="N33" i="2"/>
  <c r="M26" i="2"/>
  <c r="M14" i="2"/>
  <c r="M94" i="2"/>
  <c r="M98" i="2"/>
  <c r="M102" i="2"/>
  <c r="M106" i="2"/>
  <c r="M110" i="2"/>
  <c r="M114" i="2"/>
  <c r="M39" i="2"/>
  <c r="M43" i="2"/>
  <c r="M47" i="2"/>
  <c r="M51" i="2"/>
  <c r="M55" i="2"/>
  <c r="M59" i="2"/>
  <c r="M63" i="2"/>
  <c r="M67" i="2"/>
  <c r="M71" i="2"/>
  <c r="M75" i="2"/>
  <c r="M79" i="2"/>
  <c r="M83" i="2"/>
  <c r="M87" i="2"/>
  <c r="M91" i="2"/>
  <c r="M95" i="2"/>
  <c r="M99" i="2"/>
  <c r="M103" i="2"/>
  <c r="M107" i="2"/>
  <c r="M111" i="2"/>
  <c r="M115" i="2"/>
  <c r="M119" i="2"/>
  <c r="M123" i="2"/>
  <c r="M127" i="2"/>
  <c r="M131" i="2"/>
  <c r="M135" i="2"/>
  <c r="M139" i="2"/>
  <c r="M143" i="2"/>
  <c r="M147" i="2"/>
  <c r="M46" i="2"/>
  <c r="M50" i="2"/>
  <c r="M54" i="2"/>
  <c r="M58" i="2"/>
  <c r="M62" i="2"/>
  <c r="M66" i="2"/>
  <c r="M38" i="2"/>
  <c r="M42" i="2"/>
  <c r="M118" i="2"/>
  <c r="M122" i="2"/>
  <c r="M126" i="2"/>
  <c r="M130" i="2"/>
  <c r="M134" i="2"/>
  <c r="M138" i="2"/>
  <c r="M142" i="2"/>
  <c r="M146" i="2"/>
  <c r="M150" i="2"/>
  <c r="M154" i="2"/>
  <c r="M153" i="2"/>
  <c r="M157" i="2"/>
  <c r="M82" i="2"/>
  <c r="M86" i="2"/>
  <c r="M90" i="2"/>
  <c r="M37" i="2"/>
  <c r="M41" i="2"/>
  <c r="M45" i="2"/>
  <c r="M49" i="2"/>
  <c r="M53" i="2"/>
  <c r="M57" i="2"/>
  <c r="M61" i="2"/>
  <c r="M65" i="2"/>
  <c r="M69" i="2"/>
  <c r="M73" i="2"/>
  <c r="M77" i="2"/>
  <c r="M81" i="2"/>
  <c r="M85" i="2"/>
  <c r="M89" i="2"/>
  <c r="M93" i="2"/>
  <c r="M97" i="2"/>
  <c r="M101" i="2"/>
  <c r="M105" i="2"/>
  <c r="M109" i="2"/>
  <c r="M113" i="2"/>
  <c r="M117" i="2"/>
  <c r="M121" i="2"/>
  <c r="M125" i="2"/>
  <c r="M129" i="2"/>
  <c r="M133" i="2"/>
  <c r="M137" i="2"/>
  <c r="M141" i="2"/>
  <c r="M145" i="2"/>
  <c r="M149" i="2"/>
  <c r="M152" i="2"/>
  <c r="M156" i="2"/>
  <c r="M151" i="2"/>
  <c r="M155" i="2"/>
  <c r="M70" i="2"/>
  <c r="M74" i="2"/>
  <c r="M78" i="2"/>
  <c r="M40" i="2"/>
  <c r="M44" i="2"/>
  <c r="M48" i="2"/>
  <c r="M52" i="2"/>
  <c r="M56" i="2"/>
  <c r="M60" i="2"/>
  <c r="M64" i="2"/>
  <c r="M68" i="2"/>
  <c r="M72" i="2"/>
  <c r="M76" i="2"/>
  <c r="M80" i="2"/>
  <c r="M84" i="2"/>
  <c r="M88" i="2"/>
  <c r="M92" i="2"/>
  <c r="M96" i="2"/>
  <c r="M100" i="2"/>
  <c r="M104" i="2"/>
  <c r="M108" i="2"/>
  <c r="M112" i="2"/>
  <c r="M116" i="2"/>
  <c r="M120" i="2"/>
  <c r="M124" i="2"/>
  <c r="M128" i="2"/>
  <c r="M132" i="2"/>
  <c r="M136" i="2"/>
  <c r="M140" i="2"/>
  <c r="M144" i="2"/>
  <c r="M148" i="2"/>
  <c r="M32" i="2"/>
  <c r="N13" i="2"/>
  <c r="M13" i="2"/>
  <c r="M21" i="2"/>
  <c r="N31" i="2"/>
  <c r="M25" i="2"/>
  <c r="M12" i="2"/>
  <c r="N28" i="2"/>
  <c r="M36" i="2"/>
  <c r="N17" i="2"/>
  <c r="M24" i="2"/>
  <c r="M29" i="2"/>
  <c r="M34" i="2"/>
  <c r="N27" i="2"/>
  <c r="M18" i="2"/>
  <c r="N9" i="2"/>
  <c r="N21" i="2"/>
  <c r="N16" i="2"/>
  <c r="N11" i="2"/>
  <c r="M35" i="2"/>
  <c r="N18" i="2"/>
  <c r="M31" i="2"/>
  <c r="N23" i="2"/>
  <c r="N15" i="2"/>
  <c r="M19" i="2"/>
  <c r="N29" i="2"/>
  <c r="N36" i="2"/>
  <c r="N22" i="2"/>
  <c r="N12" i="2"/>
  <c r="M17" i="2"/>
  <c r="N26" i="2"/>
  <c r="N35" i="2"/>
  <c r="M23" i="2"/>
  <c r="N30" i="2"/>
  <c r="M15" i="2"/>
  <c r="AE22" i="2"/>
  <c r="AE38" i="2"/>
  <c r="AE54" i="2"/>
  <c r="AE24" i="2"/>
  <c r="AE40" i="2"/>
  <c r="AE56" i="2"/>
  <c r="AE23" i="2"/>
  <c r="AE39" i="2"/>
  <c r="AE55" i="2"/>
  <c r="AE7" i="2"/>
  <c r="AE25" i="2"/>
  <c r="AE41" i="2"/>
  <c r="AE57" i="2"/>
  <c r="AE10" i="2"/>
  <c r="AE26" i="2"/>
  <c r="AE42" i="2"/>
  <c r="AE58" i="2"/>
  <c r="AE11" i="2"/>
  <c r="AE27" i="2"/>
  <c r="AE43" i="2"/>
  <c r="AE59" i="2"/>
  <c r="AE12" i="2"/>
  <c r="AE44" i="2"/>
  <c r="AE29" i="2"/>
  <c r="AE61" i="2"/>
  <c r="AE28" i="2"/>
  <c r="AE60" i="2"/>
  <c r="AE13" i="2"/>
  <c r="AE45" i="2"/>
  <c r="AE14" i="2"/>
  <c r="AE30" i="2"/>
  <c r="AE46" i="2"/>
  <c r="AE62" i="2"/>
  <c r="AE15" i="2"/>
  <c r="AE31" i="2"/>
  <c r="AE47" i="2"/>
  <c r="AE63" i="2"/>
  <c r="AE18" i="2"/>
  <c r="AE34" i="2"/>
  <c r="AE50" i="2"/>
  <c r="AE66" i="2"/>
  <c r="AE19" i="2"/>
  <c r="AE35" i="2"/>
  <c r="AE51" i="2"/>
  <c r="AE16" i="2"/>
  <c r="AE32" i="2"/>
  <c r="AE48" i="2"/>
  <c r="AE64" i="2"/>
  <c r="AE17" i="2"/>
  <c r="AE33" i="2"/>
  <c r="AE49" i="2"/>
  <c r="AE65" i="2"/>
  <c r="AE20" i="2"/>
  <c r="AE52" i="2"/>
  <c r="AE37" i="2"/>
  <c r="AE36" i="2"/>
  <c r="AE21" i="2"/>
  <c r="AE53" i="2"/>
  <c r="AE9" i="2"/>
  <c r="AD22" i="2"/>
  <c r="AD11" i="2"/>
  <c r="AD32" i="2"/>
  <c r="AD53" i="2"/>
  <c r="AD7" i="2"/>
  <c r="AD13" i="2"/>
  <c r="AD34" i="2"/>
  <c r="AD60" i="2"/>
  <c r="AD12" i="2"/>
  <c r="AD33" i="2"/>
  <c r="AD59" i="2"/>
  <c r="AD14" i="2"/>
  <c r="AD35" i="2"/>
  <c r="AD61" i="2"/>
  <c r="AD15" i="2"/>
  <c r="AD36" i="2"/>
  <c r="AD62" i="2"/>
  <c r="AD16" i="2"/>
  <c r="AD37" i="2"/>
  <c r="AD17" i="2"/>
  <c r="AD64" i="2"/>
  <c r="AD44" i="2"/>
  <c r="AD63" i="2"/>
  <c r="AD43" i="2"/>
  <c r="AD18" i="2"/>
  <c r="AD65" i="2"/>
  <c r="AD19" i="2"/>
  <c r="AD45" i="2"/>
  <c r="AD66" i="2"/>
  <c r="AD28" i="2"/>
  <c r="AD49" i="2"/>
  <c r="AD29" i="2"/>
  <c r="AD50" i="2"/>
  <c r="AD46" i="2"/>
  <c r="AD21" i="2"/>
  <c r="AD47" i="2"/>
  <c r="AD27" i="2"/>
  <c r="AD48" i="2"/>
  <c r="AD9" i="2"/>
  <c r="AD30" i="2"/>
  <c r="AD52" i="2"/>
  <c r="AD51" i="2"/>
  <c r="AD31" i="2"/>
  <c r="AD20" i="2"/>
  <c r="AD54" i="2"/>
  <c r="AD41" i="2"/>
  <c r="AD25" i="2"/>
  <c r="AD24" i="2"/>
  <c r="AD55" i="2"/>
  <c r="AD42" i="2"/>
  <c r="AD26" i="2"/>
  <c r="AD10" i="2"/>
  <c r="AD38" i="2"/>
  <c r="AD40" i="2"/>
  <c r="AD58" i="2"/>
  <c r="AD57" i="2"/>
  <c r="AD56" i="2"/>
  <c r="AD39" i="2"/>
  <c r="AD23" i="2"/>
  <c r="N7" i="2"/>
  <c r="M7" i="2"/>
  <c r="M22" i="2"/>
  <c r="M16" i="2"/>
  <c r="M10" i="2"/>
  <c r="M33" i="2"/>
  <c r="M27" i="2"/>
  <c r="M30" i="2"/>
  <c r="M11" i="2"/>
  <c r="M28" i="2"/>
  <c r="N10" i="2"/>
  <c r="BL24" i="2"/>
  <c r="BL40" i="2"/>
  <c r="BL56" i="2"/>
  <c r="BL19" i="2"/>
  <c r="BL35" i="2"/>
  <c r="BL51" i="2"/>
  <c r="BL67" i="2"/>
  <c r="BL7" i="2"/>
  <c r="BL14" i="2"/>
  <c r="BL30" i="2"/>
  <c r="BL46" i="2"/>
  <c r="BL62" i="2"/>
  <c r="BL25" i="2"/>
  <c r="BL41" i="2"/>
  <c r="BL57" i="2"/>
  <c r="BL20" i="2"/>
  <c r="BL36" i="2"/>
  <c r="BL52" i="2"/>
  <c r="BL15" i="2"/>
  <c r="BL31" i="2"/>
  <c r="BL47" i="2"/>
  <c r="BL63" i="2"/>
  <c r="BL10" i="2"/>
  <c r="BL26" i="2"/>
  <c r="BL42" i="2"/>
  <c r="BL58" i="2"/>
  <c r="BL21" i="2"/>
  <c r="BL37" i="2"/>
  <c r="BL53" i="2"/>
  <c r="BL9" i="2"/>
  <c r="BL16" i="2"/>
  <c r="BL32" i="2"/>
  <c r="BL48" i="2"/>
  <c r="BL64" i="2"/>
  <c r="BL11" i="2"/>
  <c r="BL27" i="2"/>
  <c r="BL43" i="2"/>
  <c r="BL59" i="2"/>
  <c r="BL22" i="2"/>
  <c r="BL38" i="2"/>
  <c r="BL54" i="2"/>
  <c r="BL17" i="2"/>
  <c r="BL33" i="2"/>
  <c r="BL49" i="2"/>
  <c r="BL65" i="2"/>
  <c r="BL12" i="2"/>
  <c r="BL28" i="2"/>
  <c r="BL44" i="2"/>
  <c r="BL60" i="2"/>
  <c r="BL23" i="2"/>
  <c r="BL39" i="2"/>
  <c r="BL55" i="2"/>
  <c r="BL18" i="2"/>
  <c r="BL34" i="2"/>
  <c r="BL50" i="2"/>
  <c r="BL66" i="2"/>
  <c r="BL13" i="2"/>
  <c r="BL29" i="2"/>
  <c r="BL45" i="2"/>
  <c r="BL61" i="2"/>
  <c r="AV23" i="2"/>
  <c r="AV39" i="2"/>
  <c r="AV55" i="2"/>
  <c r="AV18" i="2"/>
  <c r="AV34" i="2"/>
  <c r="AV50" i="2"/>
  <c r="AV66" i="2"/>
  <c r="AV13" i="2"/>
  <c r="AV29" i="2"/>
  <c r="AV45" i="2"/>
  <c r="AV61" i="2"/>
  <c r="AV24" i="2"/>
  <c r="AV40" i="2"/>
  <c r="AV56" i="2"/>
  <c r="AV19" i="2"/>
  <c r="AV35" i="2"/>
  <c r="AV51" i="2"/>
  <c r="AV7" i="2"/>
  <c r="AV14" i="2"/>
  <c r="AV30" i="2"/>
  <c r="AV46" i="2"/>
  <c r="AV62" i="2"/>
  <c r="AV25" i="2"/>
  <c r="AV41" i="2"/>
  <c r="AV57" i="2"/>
  <c r="AV20" i="2"/>
  <c r="AV36" i="2"/>
  <c r="AV52" i="2"/>
  <c r="AV15" i="2"/>
  <c r="AV31" i="2"/>
  <c r="AV47" i="2"/>
  <c r="AV63" i="2"/>
  <c r="AV9" i="2"/>
  <c r="AV10" i="2"/>
  <c r="AV26" i="2"/>
  <c r="AV42" i="2"/>
  <c r="AV58" i="2"/>
  <c r="AV21" i="2"/>
  <c r="AV37" i="2"/>
  <c r="AV53" i="2"/>
  <c r="AV16" i="2"/>
  <c r="AV32" i="2"/>
  <c r="AV48" i="2"/>
  <c r="AV64" i="2"/>
  <c r="AV11" i="2"/>
  <c r="AV27" i="2"/>
  <c r="AV43" i="2"/>
  <c r="AV59" i="2"/>
  <c r="AV44" i="2"/>
  <c r="AV22" i="2"/>
  <c r="AV38" i="2"/>
  <c r="AV54" i="2"/>
  <c r="AV17" i="2"/>
  <c r="AV33" i="2"/>
  <c r="AV49" i="2"/>
  <c r="AV65" i="2"/>
  <c r="AV12" i="2"/>
  <c r="AV28" i="2"/>
  <c r="AV60" i="2"/>
  <c r="AU18" i="2"/>
  <c r="AU34" i="2"/>
  <c r="AU50" i="2"/>
  <c r="AU66" i="2"/>
  <c r="AU13" i="2"/>
  <c r="AU29" i="2"/>
  <c r="AU45" i="2"/>
  <c r="AU61" i="2"/>
  <c r="AU24" i="2"/>
  <c r="AU40" i="2"/>
  <c r="AU56" i="2"/>
  <c r="AU19" i="2"/>
  <c r="AU35" i="2"/>
  <c r="AU51" i="2"/>
  <c r="AU7" i="2"/>
  <c r="AU14" i="2"/>
  <c r="AU30" i="2"/>
  <c r="AU46" i="2"/>
  <c r="AU62" i="2"/>
  <c r="AU25" i="2"/>
  <c r="AU41" i="2"/>
  <c r="AU57" i="2"/>
  <c r="AU20" i="2"/>
  <c r="AU36" i="2"/>
  <c r="AU52" i="2"/>
  <c r="AU15" i="2"/>
  <c r="AU31" i="2"/>
  <c r="AU47" i="2"/>
  <c r="AU63" i="2"/>
  <c r="AU10" i="2"/>
  <c r="AU26" i="2"/>
  <c r="AU42" i="2"/>
  <c r="AU58" i="2"/>
  <c r="AU21" i="2"/>
  <c r="AU37" i="2"/>
  <c r="AU53" i="2"/>
  <c r="AU9" i="2"/>
  <c r="AU16" i="2"/>
  <c r="AU32" i="2"/>
  <c r="AU48" i="2"/>
  <c r="AU64" i="2"/>
  <c r="AU11" i="2"/>
  <c r="AU27" i="2"/>
  <c r="AU43" i="2"/>
  <c r="AU59" i="2"/>
  <c r="AU22" i="2"/>
  <c r="AU38" i="2"/>
  <c r="AU54" i="2"/>
  <c r="AU23" i="2"/>
  <c r="AU55" i="2"/>
  <c r="AU17" i="2"/>
  <c r="AU33" i="2"/>
  <c r="AU49" i="2"/>
  <c r="AU65" i="2"/>
  <c r="AU12" i="2"/>
  <c r="AU28" i="2"/>
  <c r="AU44" i="2"/>
  <c r="AU60" i="2"/>
  <c r="AU39" i="2"/>
</calcChain>
</file>

<file path=xl/sharedStrings.xml><?xml version="1.0" encoding="utf-8"?>
<sst xmlns="http://schemas.openxmlformats.org/spreadsheetml/2006/main" count="180" uniqueCount="104">
  <si>
    <t>Lectura</t>
  </si>
  <si>
    <t>Capilar 1</t>
  </si>
  <si>
    <t>Capilar 2</t>
  </si>
  <si>
    <t>Capilar 3</t>
  </si>
  <si>
    <t>Capilar 4</t>
  </si>
  <si>
    <t>ANALISTA</t>
  </si>
  <si>
    <t>S1 ATF TASA</t>
  </si>
  <si>
    <t>Producto</t>
  </si>
  <si>
    <t>L.A.S.</t>
  </si>
  <si>
    <t>L.D.S.</t>
  </si>
  <si>
    <t>Promedio</t>
  </si>
  <si>
    <t>L.A.I.</t>
  </si>
  <si>
    <t>L.D.I.</t>
  </si>
  <si>
    <t>Desv. STD</t>
  </si>
  <si>
    <t>L.1S.S.</t>
  </si>
  <si>
    <t>L.1S.I.</t>
  </si>
  <si>
    <t>Medias</t>
  </si>
  <si>
    <t>rango movil</t>
  </si>
  <si>
    <t>LCI</t>
  </si>
  <si>
    <t>LCS</t>
  </si>
  <si>
    <t>CONFIABILIDAD</t>
  </si>
  <si>
    <t>LABORATORIO DE LUBRICANTES</t>
  </si>
  <si>
    <t>CONTROL ESTADISTICO DE PROCESOS</t>
  </si>
  <si>
    <t>Q- 300     INGRESO DE DATOS</t>
  </si>
  <si>
    <t>CAPILAR 1</t>
  </si>
  <si>
    <t>CAPILAR 2</t>
  </si>
  <si>
    <t>CAPILAR 3</t>
  </si>
  <si>
    <t>CAPILAR 4</t>
  </si>
  <si>
    <t>INSTRUCCIONES</t>
  </si>
  <si>
    <t>INGRESO DE DATOS</t>
  </si>
  <si>
    <t>Se realiza a travez de la pestaña de ingreso de datos. Contiene cuatro casillas amarillas en donde se ingresaran las lecturas de viscosidades, luego presionar el boton ingresar.</t>
  </si>
  <si>
    <t>Podra verificar los datos ingresados en la pestaña datos.</t>
  </si>
  <si>
    <t>RANGO</t>
  </si>
  <si>
    <t xml:space="preserve">FECHA     </t>
  </si>
  <si>
    <t>Los datos ingresados aparecen automaticamente en las cartas de control.</t>
  </si>
  <si>
    <r>
      <t xml:space="preserve">VISUALIZACION DE DATOS </t>
    </r>
    <r>
      <rPr>
        <b/>
        <sz val="11"/>
        <color rgb="FFFF0000"/>
        <rFont val="Aptos Narrow"/>
        <family val="2"/>
        <scheme val="minor"/>
      </rPr>
      <t>(NO MODIFICAR)</t>
    </r>
  </si>
  <si>
    <r>
      <t xml:space="preserve">INGRESO DE DATOS </t>
    </r>
    <r>
      <rPr>
        <b/>
        <sz val="11"/>
        <color rgb="FF00B050"/>
        <rFont val="Aptos Narrow"/>
        <family val="2"/>
        <scheme val="minor"/>
      </rPr>
      <t>(PESTAÑA MODIFICABLE)</t>
    </r>
  </si>
  <si>
    <r>
      <t>GENERACION DE CARTAS</t>
    </r>
    <r>
      <rPr>
        <b/>
        <sz val="11"/>
        <color theme="1"/>
        <rFont val="Aptos Narrow"/>
        <family val="2"/>
        <scheme val="minor"/>
      </rPr>
      <t xml:space="preserve"> </t>
    </r>
    <r>
      <rPr>
        <b/>
        <sz val="11"/>
        <color rgb="FFFF0000"/>
        <rFont val="Aptos Narrow"/>
        <family val="2"/>
        <scheme val="minor"/>
      </rPr>
      <t>(NO MODIFICAR)</t>
    </r>
  </si>
  <si>
    <t>85W140</t>
  </si>
  <si>
    <t>SD</t>
  </si>
  <si>
    <t>ACEITE</t>
  </si>
  <si>
    <r>
      <t>+1</t>
    </r>
    <r>
      <rPr>
        <sz val="7.7"/>
        <color theme="1"/>
        <rFont val="Aptos Narrow"/>
        <family val="2"/>
      </rPr>
      <t xml:space="preserve"> SD</t>
    </r>
  </si>
  <si>
    <r>
      <t>-1</t>
    </r>
    <r>
      <rPr>
        <sz val="7.7"/>
        <color theme="1"/>
        <rFont val="Aptos Narrow"/>
        <family val="2"/>
      </rPr>
      <t xml:space="preserve"> SD</t>
    </r>
  </si>
  <si>
    <r>
      <t>-2</t>
    </r>
    <r>
      <rPr>
        <sz val="7.7"/>
        <color theme="1"/>
        <rFont val="Aptos Narrow"/>
        <family val="2"/>
      </rPr>
      <t xml:space="preserve"> SD</t>
    </r>
  </si>
  <si>
    <r>
      <t>+2</t>
    </r>
    <r>
      <rPr>
        <sz val="7.7"/>
        <color theme="1"/>
        <rFont val="Aptos Narrow"/>
        <family val="2"/>
      </rPr>
      <t xml:space="preserve"> SD</t>
    </r>
  </si>
  <si>
    <r>
      <t>-3</t>
    </r>
    <r>
      <rPr>
        <sz val="7.7"/>
        <color theme="1"/>
        <rFont val="Aptos Narrow"/>
        <family val="2"/>
      </rPr>
      <t xml:space="preserve"> SD</t>
    </r>
  </si>
  <si>
    <r>
      <t>+3</t>
    </r>
    <r>
      <rPr>
        <sz val="7.7"/>
        <color theme="1"/>
        <rFont val="Aptos Narrow"/>
        <family val="2"/>
      </rPr>
      <t xml:space="preserve"> SD</t>
    </r>
  </si>
  <si>
    <t>I.C. (95%)</t>
  </si>
  <si>
    <t>L.C.I</t>
  </si>
  <si>
    <t>L.C.S</t>
  </si>
  <si>
    <t>L.A.S</t>
  </si>
  <si>
    <t>RESUMEN</t>
  </si>
  <si>
    <t>En esta pestaña visualizara los datos ingresados. Podra evaluar el historico del mes y si hay que tomar una accion antes de realizar otras mediciones.</t>
  </si>
  <si>
    <t>Podra visualizar un cuadro en donde encontrara los limites de control, desviacion estandar y media para los aceites utilizados.</t>
  </si>
  <si>
    <t>DATOS</t>
  </si>
  <si>
    <t>Aquí encontrara los datos ingresados a travez de la pestaña de ingreso.</t>
  </si>
  <si>
    <t>CARTA 0</t>
  </si>
  <si>
    <t>En la pestaña de Carta 0 encontrara los datos utilizados para la construccion de la carta  de control, asi tambien la distribucion de estos datos en la carta de control y calculos realizados.</t>
  </si>
  <si>
    <t>HALLAZGOS</t>
  </si>
  <si>
    <t>CAUSA ASIGNABLE</t>
  </si>
  <si>
    <t>ACCION</t>
  </si>
  <si>
    <t>FECHA</t>
  </si>
  <si>
    <t>PESTAÑAS:</t>
  </si>
  <si>
    <t>INSTRUCCIONES:</t>
  </si>
  <si>
    <t>2- UNA VEZ LISTO PARA OPERACIÓN NORMAL, REALIZAR  UNA MEDICION DE LOS ACEITES ELEGIDOS EN LA CARTA 0.</t>
  </si>
  <si>
    <t>3- INGRESE LOS DATOS A TRAVES DE LA PESTAÑA INGRESO.</t>
  </si>
  <si>
    <t>1-  INICIAR EL EQUIPO DE FORMA COTIDIANA PARA UNA OPERACIÓN NORMAL.</t>
  </si>
  <si>
    <t>4- VERIFIQUE EL CORRECTO INGRESO EN LA PESTAÑA DATOS Y LA CARTA DE CONTROL CORRESPONDIENTE EN LA PESTAÑA RESUMEN.</t>
  </si>
  <si>
    <t>5- TENIENDO EN CUENTA LOS CRITERIOS  EVALUAR LA LECTURA REALIZADA. SI ESTA DENTRO DE PARAMETROS NORMALES CONTINUAR CON LA OPERACIÓN NORMAL. CASO CONTRARIO, INVESTIGAR  LA CAUSA ASIGNABLE, CORREGIRLA SI ES POSIBLE Y REGISTRAR EL EVENTO EN LA PESTAÑA DE HALLAZGOS Y LA ACCION TOMADA. VERIFICAR SU ELIMINACION REPITIENDO LA LECTURA.</t>
  </si>
  <si>
    <t>CRITERIOS:</t>
  </si>
  <si>
    <t>DESPLAZAMIENTO:</t>
  </si>
  <si>
    <t>A- Siete  o mas puntos consecutivos de un solo lado de la linea central.</t>
  </si>
  <si>
    <t>B- Un punto fuera de los limites de control.</t>
  </si>
  <si>
    <t>Cambio de nivel en el proceso en carta de medias, en carta de rangos aumento o disminucion de variabilidad. Encontrara:</t>
  </si>
  <si>
    <t>TENDENCIA:</t>
  </si>
  <si>
    <t>Serie de puntos en los que se evidencia una predisposicion a aumnetar o decrecer.</t>
  </si>
  <si>
    <t>Causas probables en cartas de medias:</t>
  </si>
  <si>
    <t>1- Deterioro gradual del equipo.</t>
  </si>
  <si>
    <t>2- Desajuste gradual del equipo.</t>
  </si>
  <si>
    <t>3- Acumulacion gradual de algun tipo de residuo.</t>
  </si>
  <si>
    <t>Criterio:</t>
  </si>
  <si>
    <t>A- 6 o mas puntos consecutivos en un patron ascendente o descendente.</t>
  </si>
  <si>
    <t>VARIABILIDAD ALTA:</t>
  </si>
  <si>
    <t>Existen gran cantidad de puntos en los limites de control (ambos lados) y muy pocos cerda de la linea central (Linea verde)</t>
  </si>
  <si>
    <t>1- Ajustes inecesarios en el proceso.</t>
  </si>
  <si>
    <t>2- Control de dos o mas procesos en la misma carta.</t>
  </si>
  <si>
    <t>Causas probables:</t>
  </si>
  <si>
    <t>A- 8 o mas puntos consecutivos a ambos lados de la linea central.</t>
  </si>
  <si>
    <t>VARIABILIDAD BAJA:</t>
  </si>
  <si>
    <t>Puntos concentrados cerca de la linea central</t>
  </si>
  <si>
    <t>1- Carta de control equivocada.</t>
  </si>
  <si>
    <t>2-Medidas manipuladas.</t>
  </si>
  <si>
    <t>3-Problemas en la sensibilidad del instrumento de medicion.</t>
  </si>
  <si>
    <t>A- 15 o mas puntos consecutivos en la zona central de la carta de control.</t>
  </si>
  <si>
    <t>CICLOS:</t>
  </si>
  <si>
    <t>Se repiten comportamiento en intervalos iguales de tiempos.</t>
  </si>
  <si>
    <t>1-Cambios periodicos en el ambiente.</t>
  </si>
  <si>
    <t>4- Cambios graduales en el medio ambiente.</t>
  </si>
  <si>
    <t>2-Rotacion de personal.</t>
  </si>
  <si>
    <t>A- Repeticion en ciclos.</t>
  </si>
  <si>
    <t>CX 10</t>
  </si>
  <si>
    <t>CX10</t>
  </si>
  <si>
    <t>Cp</t>
  </si>
  <si>
    <t>CpK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</si>
</sst>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Book Antiqua"/>
      <family val="1"/>
    </font>
    <font>
      <b/>
      <sz val="14"/>
      <color rgb="FF002060"/>
      <name val="Aptos Narrow"/>
      <family val="2"/>
      <scheme val="minor"/>
    </font>
    <font>
      <sz val="14"/>
      <color theme="1"/>
      <name val="Angsana New"/>
      <family val="1"/>
      <charset val="222"/>
    </font>
    <font>
      <b/>
      <sz val="14"/>
      <color rgb="FF002060"/>
      <name val="Angsana New"/>
      <family val="1"/>
      <charset val="222"/>
    </font>
    <font>
      <sz val="10"/>
      <color rgb="FF002060"/>
      <name val="Angsana New"/>
      <family val="1"/>
      <charset val="222"/>
    </font>
    <font>
      <sz val="11"/>
      <color theme="1" tint="0.249977111117893"/>
      <name val="Angsana New"/>
      <family val="1"/>
      <charset val="222"/>
    </font>
    <font>
      <b/>
      <sz val="11"/>
      <color theme="1"/>
      <name val="Aptos Narrow"/>
      <family val="2"/>
      <scheme val="minor"/>
    </font>
    <font>
      <sz val="12"/>
      <color theme="1"/>
      <name val="Angsana New"/>
      <family val="1"/>
      <charset val="222"/>
    </font>
    <font>
      <sz val="10"/>
      <color rgb="FF0070C0"/>
      <name val="Angsana New"/>
      <family val="1"/>
      <charset val="222"/>
    </font>
    <font>
      <sz val="11"/>
      <color theme="0" tint="-0.249977111117893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b/>
      <sz val="14"/>
      <color rgb="FF002D86"/>
      <name val="Angsana New"/>
      <family val="1"/>
      <charset val="222"/>
    </font>
    <font>
      <sz val="11"/>
      <color rgb="FF002D86"/>
      <name val="Aptos Narrow"/>
      <family val="2"/>
      <scheme val="minor"/>
    </font>
    <font>
      <sz val="16"/>
      <color theme="1" tint="0.249977111117893"/>
      <name val="Angsana New"/>
      <family val="1"/>
      <charset val="222"/>
    </font>
    <font>
      <sz val="20"/>
      <color theme="1"/>
      <name val="Angsana New"/>
      <family val="1"/>
      <charset val="222"/>
    </font>
    <font>
      <b/>
      <sz val="16"/>
      <color rgb="FF002D86"/>
      <name val="Angsana New"/>
      <family val="1"/>
      <charset val="222"/>
    </font>
    <font>
      <b/>
      <sz val="11"/>
      <color rgb="FFFF000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6"/>
      <color rgb="FF002060"/>
      <name val="Angsana New"/>
      <family val="1"/>
      <charset val="222"/>
    </font>
    <font>
      <sz val="11"/>
      <color rgb="FF0070C0"/>
      <name val="Angsana New"/>
      <family val="1"/>
      <charset val="222"/>
    </font>
    <font>
      <sz val="11"/>
      <color theme="1"/>
      <name val="Aptos Narrow"/>
      <family val="2"/>
    </font>
    <font>
      <sz val="7.7"/>
      <color theme="1"/>
      <name val="Aptos Narrow"/>
      <family val="2"/>
    </font>
    <font>
      <b/>
      <sz val="11"/>
      <color rgb="FFCCCC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6699FF"/>
      <name val="Aptos Narrow"/>
      <family val="2"/>
      <scheme val="minor"/>
    </font>
    <font>
      <b/>
      <sz val="16"/>
      <color rgb="FF6699FF"/>
      <name val="Angsana New"/>
      <family val="1"/>
      <charset val="222"/>
    </font>
    <font>
      <sz val="11"/>
      <color rgb="FFFF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EBF2FF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3FFB3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7EFFF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C0D9F2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dashDotDot">
        <color theme="2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dashDotDot">
        <color theme="2" tint="-0.24994659260841701"/>
      </top>
      <bottom style="dashDotDot">
        <color theme="2" tint="-0.24994659260841701"/>
      </bottom>
      <diagonal/>
    </border>
    <border>
      <left style="thin">
        <color indexed="64"/>
      </left>
      <right style="thin">
        <color indexed="64"/>
      </right>
      <top/>
      <bottom style="dashDotDot">
        <color theme="1" tint="0.499984740745262"/>
      </bottom>
      <diagonal/>
    </border>
    <border>
      <left style="thin">
        <color indexed="64"/>
      </left>
      <right style="thin">
        <color indexed="64"/>
      </right>
      <top style="dashDotDot">
        <color theme="1" tint="0.499984740745262"/>
      </top>
      <bottom style="dashDotDot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ashDotDot">
        <color theme="1" tint="0.499984740745262"/>
      </bottom>
      <diagonal/>
    </border>
    <border>
      <left style="thin">
        <color indexed="64"/>
      </left>
      <right/>
      <top style="dashDotDot">
        <color theme="1" tint="0.499984740745262"/>
      </top>
      <bottom style="dashDotDot">
        <color theme="1" tint="0.499984740745262"/>
      </bottom>
      <diagonal/>
    </border>
    <border>
      <left style="thin">
        <color indexed="64"/>
      </left>
      <right/>
      <top style="dashDotDot">
        <color theme="1" tint="0.49998474074526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9B9791"/>
      </bottom>
      <diagonal/>
    </border>
    <border>
      <left style="thin">
        <color auto="1"/>
      </left>
      <right style="thin">
        <color auto="1"/>
      </right>
      <top style="thin">
        <color rgb="FF9B9791"/>
      </top>
      <bottom style="thin">
        <color rgb="FF9B9791"/>
      </bottom>
      <diagonal/>
    </border>
    <border>
      <left style="thin">
        <color auto="1"/>
      </left>
      <right style="thin">
        <color auto="1"/>
      </right>
      <top style="thin">
        <color rgb="FF9B9791"/>
      </top>
      <bottom style="thin">
        <color auto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dashDotDot">
        <color theme="1" tint="0.34998626667073579"/>
      </bottom>
      <diagonal/>
    </border>
    <border>
      <left style="thin">
        <color indexed="64"/>
      </left>
      <right style="medium">
        <color theme="1"/>
      </right>
      <top style="dashDotDot">
        <color theme="1" tint="0.34998626667073579"/>
      </top>
      <bottom style="dashDotDot">
        <color theme="1" tint="0.34998626667073579"/>
      </bottom>
      <diagonal/>
    </border>
    <border>
      <left style="thin">
        <color indexed="64"/>
      </left>
      <right style="medium">
        <color theme="1"/>
      </right>
      <top style="dashDotDot">
        <color theme="1" tint="0.34998626667073579"/>
      </top>
      <bottom style="medium">
        <color theme="1" tint="0.2499465926084170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dashDotDot">
        <color theme="0" tint="-0.34998626667073579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dashDotDot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thin">
        <color theme="2" tint="-0.24994659260841701"/>
      </left>
      <right style="thin">
        <color theme="2" tint="-0.24994659260841701"/>
      </right>
      <top style="dashDotDot">
        <color theme="1" tint="0.499984740745262"/>
      </top>
      <bottom style="dashDotDot">
        <color theme="1" tint="0.499984740745262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2" tint="-0.24994659260841701"/>
      </right>
      <top style="thin">
        <color indexed="64"/>
      </top>
      <bottom style="dashDotDot">
        <color indexed="64"/>
      </bottom>
      <diagonal/>
    </border>
    <border>
      <left style="thin">
        <color indexed="64"/>
      </left>
      <right style="thin">
        <color theme="2" tint="-0.24994659260841701"/>
      </right>
      <top style="dashDotDot">
        <color indexed="64"/>
      </top>
      <bottom style="dashDot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DotDot">
        <color theme="1" tint="0.499984740745262"/>
      </bottom>
      <diagonal/>
    </border>
    <border>
      <left style="thin">
        <color indexed="64"/>
      </left>
      <right style="thin">
        <color indexed="64"/>
      </right>
      <top style="dashDotDot">
        <color theme="1" tint="0.49998474074526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dashDotDot">
        <color indexed="64"/>
      </bottom>
      <diagonal/>
    </border>
    <border>
      <left/>
      <right style="thin">
        <color indexed="64"/>
      </right>
      <top style="thin">
        <color indexed="64"/>
      </top>
      <bottom style="dashDot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DotDot">
        <color indexed="64"/>
      </bottom>
      <diagonal/>
    </border>
    <border>
      <left style="thin">
        <color indexed="64"/>
      </left>
      <right/>
      <top style="dashDotDot">
        <color indexed="64"/>
      </top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>
      <left/>
      <right style="thin">
        <color indexed="64"/>
      </right>
      <top style="dashDotDot">
        <color indexed="64"/>
      </top>
      <bottom style="dashDotDot">
        <color indexed="64"/>
      </bottom>
      <diagonal/>
    </border>
    <border>
      <left style="thin">
        <color indexed="64"/>
      </left>
      <right style="thin">
        <color indexed="64"/>
      </right>
      <top style="dashDotDot">
        <color indexed="64"/>
      </top>
      <bottom style="dashDotDot">
        <color indexed="64"/>
      </bottom>
      <diagonal/>
    </border>
    <border>
      <left style="thin">
        <color indexed="64"/>
      </left>
      <right/>
      <top style="dashDotDot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/>
      <right style="thin">
        <color indexed="64"/>
      </right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DotDot">
        <color indexed="64"/>
      </top>
      <bottom style="thin">
        <color indexed="64"/>
      </bottom>
      <diagonal/>
    </border>
    <border>
      <left/>
      <right/>
      <top style="thin">
        <color theme="1" tint="0.499984740745262"/>
      </top>
      <bottom/>
      <diagonal/>
    </border>
  </borders>
  <cellStyleXfs count="1">
    <xf numFmtId="0" fontId="0" fillId="0" borderId="0"/>
  </cellStyleXfs>
  <cellXfs count="160">
    <xf numFmtId="0" fontId="0" fillId="0" borderId="0" xfId="0"/>
    <xf numFmtId="0" fontId="0" fillId="2" borderId="0" xfId="0" applyFill="1"/>
    <xf numFmtId="0" fontId="0" fillId="5" borderId="0" xfId="0" applyFill="1"/>
    <xf numFmtId="0" fontId="0" fillId="7" borderId="0" xfId="0" applyFill="1"/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14" fontId="9" fillId="6" borderId="16" xfId="0" applyNumberFormat="1" applyFont="1" applyFill="1" applyBorder="1" applyAlignment="1">
      <alignment horizontal="center" vertical="center"/>
    </xf>
    <xf numFmtId="165" fontId="0" fillId="7" borderId="0" xfId="0" applyNumberFormat="1" applyFill="1"/>
    <xf numFmtId="0" fontId="0" fillId="10" borderId="1" xfId="0" applyFill="1" applyBorder="1"/>
    <xf numFmtId="0" fontId="0" fillId="8" borderId="1" xfId="0" applyFill="1" applyBorder="1"/>
    <xf numFmtId="0" fontId="0" fillId="6" borderId="1" xfId="0" applyFill="1" applyBorder="1"/>
    <xf numFmtId="0" fontId="0" fillId="9" borderId="1" xfId="0" applyFill="1" applyBorder="1"/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0" borderId="0" xfId="0" applyFont="1"/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11" borderId="0" xfId="0" applyFont="1" applyFill="1"/>
    <xf numFmtId="0" fontId="11" fillId="11" borderId="23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164" fontId="11" fillId="4" borderId="4" xfId="0" applyNumberFormat="1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/>
    </xf>
    <xf numFmtId="2" fontId="11" fillId="4" borderId="4" xfId="0" applyNumberFormat="1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 vertical="center"/>
    </xf>
    <xf numFmtId="164" fontId="11" fillId="2" borderId="4" xfId="0" applyNumberFormat="1" applyFont="1" applyFill="1" applyBorder="1" applyAlignment="1">
      <alignment horizontal="center" vertical="center"/>
    </xf>
    <xf numFmtId="0" fontId="11" fillId="0" borderId="4" xfId="0" applyFont="1" applyBorder="1" applyAlignment="1">
      <alignment horizontal="center"/>
    </xf>
    <xf numFmtId="2" fontId="11" fillId="0" borderId="4" xfId="0" applyNumberFormat="1" applyFont="1" applyBorder="1" applyAlignment="1">
      <alignment horizontal="center"/>
    </xf>
    <xf numFmtId="0" fontId="11" fillId="2" borderId="10" xfId="0" applyFont="1" applyFill="1" applyBorder="1" applyAlignment="1">
      <alignment horizontal="center" vertical="center"/>
    </xf>
    <xf numFmtId="164" fontId="11" fillId="2" borderId="10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9" fillId="6" borderId="17" xfId="0" applyFont="1" applyFill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vertical="top"/>
    </xf>
    <xf numFmtId="0" fontId="3" fillId="2" borderId="32" xfId="0" applyFont="1" applyFill="1" applyBorder="1" applyAlignment="1">
      <alignment vertical="top"/>
    </xf>
    <xf numFmtId="0" fontId="17" fillId="7" borderId="0" xfId="0" applyFont="1" applyFill="1" applyAlignment="1">
      <alignment horizontal="center" vertical="center"/>
    </xf>
    <xf numFmtId="0" fontId="17" fillId="7" borderId="0" xfId="0" applyFont="1" applyFill="1"/>
    <xf numFmtId="2" fontId="11" fillId="2" borderId="10" xfId="0" applyNumberFormat="1" applyFont="1" applyFill="1" applyBorder="1" applyAlignment="1">
      <alignment horizontal="center" vertical="center"/>
    </xf>
    <xf numFmtId="2" fontId="0" fillId="5" borderId="0" xfId="0" applyNumberFormat="1" applyFill="1"/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2" fontId="0" fillId="5" borderId="41" xfId="0" applyNumberFormat="1" applyFill="1" applyBorder="1" applyAlignment="1">
      <alignment horizontal="center" vertical="center"/>
    </xf>
    <xf numFmtId="2" fontId="0" fillId="5" borderId="43" xfId="0" applyNumberFormat="1" applyFill="1" applyBorder="1" applyAlignment="1">
      <alignment horizontal="center" vertical="center"/>
    </xf>
    <xf numFmtId="2" fontId="0" fillId="5" borderId="39" xfId="0" applyNumberFormat="1" applyFill="1" applyBorder="1" applyAlignment="1">
      <alignment horizontal="center" vertical="center"/>
    </xf>
    <xf numFmtId="2" fontId="0" fillId="5" borderId="40" xfId="0" applyNumberFormat="1" applyFill="1" applyBorder="1" applyAlignment="1">
      <alignment horizontal="center" vertical="center"/>
    </xf>
    <xf numFmtId="2" fontId="0" fillId="5" borderId="42" xfId="0" applyNumberFormat="1" applyFill="1" applyBorder="1" applyAlignment="1">
      <alignment horizontal="center" vertical="center"/>
    </xf>
    <xf numFmtId="2" fontId="0" fillId="5" borderId="40" xfId="0" applyNumberFormat="1" applyFill="1" applyBorder="1" applyAlignment="1">
      <alignment horizontal="center"/>
    </xf>
    <xf numFmtId="2" fontId="0" fillId="5" borderId="42" xfId="0" applyNumberFormat="1" applyFill="1" applyBorder="1" applyAlignment="1">
      <alignment horizontal="center"/>
    </xf>
    <xf numFmtId="2" fontId="0" fillId="5" borderId="52" xfId="0" applyNumberFormat="1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0" fontId="0" fillId="5" borderId="51" xfId="0" applyFill="1" applyBorder="1" applyAlignment="1">
      <alignment horizontal="center" vertical="center"/>
    </xf>
    <xf numFmtId="164" fontId="0" fillId="5" borderId="56" xfId="0" applyNumberFormat="1" applyFill="1" applyBorder="1" applyAlignment="1">
      <alignment horizontal="center" vertical="center"/>
    </xf>
    <xf numFmtId="164" fontId="0" fillId="5" borderId="57" xfId="0" applyNumberFormat="1" applyFill="1" applyBorder="1" applyAlignment="1">
      <alignment horizontal="center" vertical="center"/>
    </xf>
    <xf numFmtId="0" fontId="0" fillId="12" borderId="53" xfId="0" applyFill="1" applyBorder="1" applyAlignment="1">
      <alignment horizontal="center" vertical="center"/>
    </xf>
    <xf numFmtId="0" fontId="0" fillId="12" borderId="22" xfId="0" applyFill="1" applyBorder="1" applyAlignment="1">
      <alignment horizontal="center" vertical="center"/>
    </xf>
    <xf numFmtId="0" fontId="0" fillId="12" borderId="45" xfId="0" applyFill="1" applyBorder="1" applyAlignment="1">
      <alignment horizontal="center" vertical="center"/>
    </xf>
    <xf numFmtId="0" fontId="0" fillId="12" borderId="44" xfId="0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/>
    </xf>
    <xf numFmtId="0" fontId="0" fillId="13" borderId="48" xfId="0" applyFill="1" applyBorder="1" applyAlignment="1">
      <alignment horizontal="center" vertical="center"/>
    </xf>
    <xf numFmtId="0" fontId="22" fillId="13" borderId="47" xfId="0" applyFont="1" applyFill="1" applyBorder="1" applyAlignment="1">
      <alignment horizontal="center" vertical="center"/>
    </xf>
    <xf numFmtId="49" fontId="22" fillId="13" borderId="46" xfId="0" applyNumberFormat="1" applyFont="1" applyFill="1" applyBorder="1" applyAlignment="1">
      <alignment horizontal="center" vertical="center"/>
    </xf>
    <xf numFmtId="49" fontId="22" fillId="13" borderId="47" xfId="0" applyNumberFormat="1" applyFont="1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0" fontId="0" fillId="13" borderId="50" xfId="0" applyFill="1" applyBorder="1" applyAlignment="1">
      <alignment horizontal="center" vertical="center"/>
    </xf>
    <xf numFmtId="0" fontId="0" fillId="13" borderId="51" xfId="0" applyFill="1" applyBorder="1" applyAlignment="1">
      <alignment horizontal="center" vertical="center"/>
    </xf>
    <xf numFmtId="0" fontId="24" fillId="5" borderId="37" xfId="0" applyFont="1" applyFill="1" applyBorder="1" applyAlignment="1">
      <alignment horizontal="center"/>
    </xf>
    <xf numFmtId="0" fontId="18" fillId="5" borderId="37" xfId="0" applyFont="1" applyFill="1" applyBorder="1" applyAlignment="1">
      <alignment horizontal="center" vertical="center"/>
    </xf>
    <xf numFmtId="2" fontId="11" fillId="2" borderId="11" xfId="0" applyNumberFormat="1" applyFont="1" applyFill="1" applyBorder="1" applyAlignment="1">
      <alignment horizontal="center" vertical="center"/>
    </xf>
    <xf numFmtId="0" fontId="11" fillId="2" borderId="58" xfId="0" applyFont="1" applyFill="1" applyBorder="1" applyAlignment="1">
      <alignment horizontal="center" vertical="center"/>
    </xf>
    <xf numFmtId="0" fontId="11" fillId="2" borderId="59" xfId="0" applyFont="1" applyFill="1" applyBorder="1" applyAlignment="1">
      <alignment horizontal="center" vertical="center"/>
    </xf>
    <xf numFmtId="2" fontId="11" fillId="2" borderId="59" xfId="0" applyNumberFormat="1" applyFont="1" applyFill="1" applyBorder="1" applyAlignment="1">
      <alignment horizontal="center" vertical="center"/>
    </xf>
    <xf numFmtId="2" fontId="11" fillId="2" borderId="9" xfId="0" applyNumberFormat="1" applyFont="1" applyFill="1" applyBorder="1" applyAlignment="1">
      <alignment horizontal="center" vertical="center"/>
    </xf>
    <xf numFmtId="0" fontId="0" fillId="2" borderId="1" xfId="0" applyFill="1" applyBorder="1"/>
    <xf numFmtId="0" fontId="0" fillId="4" borderId="60" xfId="0" applyFill="1" applyBorder="1" applyAlignment="1">
      <alignment horizontal="center" vertical="center"/>
    </xf>
    <xf numFmtId="164" fontId="0" fillId="7" borderId="60" xfId="0" applyNumberFormat="1" applyFill="1" applyBorder="1" applyAlignment="1">
      <alignment horizontal="center" vertical="center"/>
    </xf>
    <xf numFmtId="2" fontId="0" fillId="7" borderId="60" xfId="0" applyNumberFormat="1" applyFill="1" applyBorder="1" applyAlignment="1">
      <alignment horizontal="center" vertical="center"/>
    </xf>
    <xf numFmtId="14" fontId="0" fillId="7" borderId="60" xfId="0" applyNumberFormat="1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64" fontId="0" fillId="7" borderId="6" xfId="0" applyNumberFormat="1" applyFill="1" applyBorder="1" applyAlignment="1">
      <alignment horizontal="center" vertical="center"/>
    </xf>
    <xf numFmtId="2" fontId="0" fillId="7" borderId="6" xfId="0" applyNumberFormat="1" applyFill="1" applyBorder="1" applyAlignment="1">
      <alignment horizontal="center" vertical="center"/>
    </xf>
    <xf numFmtId="14" fontId="0" fillId="7" borderId="6" xfId="0" applyNumberForma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2" fontId="25" fillId="7" borderId="6" xfId="0" applyNumberFormat="1" applyFont="1" applyFill="1" applyBorder="1" applyAlignment="1">
      <alignment horizontal="center" vertical="center"/>
    </xf>
    <xf numFmtId="0" fontId="25" fillId="4" borderId="6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4" borderId="6" xfId="0" applyFill="1" applyBorder="1" applyAlignment="1">
      <alignment horizontal="center"/>
    </xf>
    <xf numFmtId="2" fontId="0" fillId="7" borderId="6" xfId="0" applyNumberFormat="1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4" borderId="61" xfId="0" applyFill="1" applyBorder="1" applyAlignment="1">
      <alignment horizontal="center"/>
    </xf>
    <xf numFmtId="2" fontId="0" fillId="7" borderId="61" xfId="0" applyNumberFormat="1" applyFill="1" applyBorder="1" applyAlignment="1">
      <alignment horizontal="center"/>
    </xf>
    <xf numFmtId="0" fontId="0" fillId="7" borderId="61" xfId="0" applyFill="1" applyBorder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0" fontId="0" fillId="7" borderId="65" xfId="0" applyFill="1" applyBorder="1"/>
    <xf numFmtId="0" fontId="0" fillId="7" borderId="69" xfId="0" applyFill="1" applyBorder="1"/>
    <xf numFmtId="0" fontId="0" fillId="7" borderId="73" xfId="0" applyFill="1" applyBorder="1"/>
    <xf numFmtId="0" fontId="17" fillId="7" borderId="0" xfId="0" applyFont="1" applyFill="1" applyAlignment="1">
      <alignment horizontal="left" vertical="center"/>
    </xf>
    <xf numFmtId="0" fontId="26" fillId="7" borderId="74" xfId="0" applyFont="1" applyFill="1" applyBorder="1"/>
    <xf numFmtId="0" fontId="0" fillId="7" borderId="74" xfId="0" applyFill="1" applyBorder="1"/>
    <xf numFmtId="0" fontId="27" fillId="7" borderId="0" xfId="0" applyFont="1" applyFill="1"/>
    <xf numFmtId="0" fontId="26" fillId="7" borderId="0" xfId="0" applyFont="1" applyFill="1"/>
    <xf numFmtId="0" fontId="28" fillId="0" borderId="25" xfId="0" applyFont="1" applyBorder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0" fillId="5" borderId="56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0" fontId="15" fillId="2" borderId="33" xfId="0" applyFont="1" applyFill="1" applyBorder="1" applyAlignment="1">
      <alignment horizontal="center" vertical="center"/>
    </xf>
    <xf numFmtId="0" fontId="15" fillId="2" borderId="36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/>
    </xf>
    <xf numFmtId="0" fontId="21" fillId="2" borderId="34" xfId="0" applyFont="1" applyFill="1" applyBorder="1" applyAlignment="1">
      <alignment horizontal="center"/>
    </xf>
    <xf numFmtId="0" fontId="17" fillId="2" borderId="29" xfId="0" applyFont="1" applyFill="1" applyBorder="1" applyAlignment="1">
      <alignment horizontal="center"/>
    </xf>
    <xf numFmtId="0" fontId="20" fillId="2" borderId="30" xfId="0" applyFont="1" applyFill="1" applyBorder="1" applyAlignment="1">
      <alignment horizontal="center"/>
    </xf>
    <xf numFmtId="0" fontId="16" fillId="2" borderId="29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0" fontId="16" fillId="2" borderId="3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0" fillId="7" borderId="0" xfId="0" applyFill="1" applyAlignment="1">
      <alignment horizontal="left" vertical="center" wrapText="1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13" fillId="2" borderId="18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top"/>
    </xf>
    <xf numFmtId="0" fontId="3" fillId="2" borderId="20" xfId="0" applyFont="1" applyFill="1" applyBorder="1" applyAlignment="1">
      <alignment horizontal="center" vertical="top"/>
    </xf>
    <xf numFmtId="0" fontId="10" fillId="2" borderId="8" xfId="0" applyFont="1" applyFill="1" applyBorder="1" applyAlignment="1">
      <alignment horizontal="center"/>
    </xf>
    <xf numFmtId="0" fontId="10" fillId="2" borderId="20" xfId="0" applyFont="1" applyFill="1" applyBorder="1" applyAlignment="1">
      <alignment horizontal="center"/>
    </xf>
    <xf numFmtId="0" fontId="10" fillId="2" borderId="21" xfId="0" applyFont="1" applyFill="1" applyBorder="1" applyAlignment="1">
      <alignment horizontal="center"/>
    </xf>
    <xf numFmtId="0" fontId="10" fillId="2" borderId="22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0" fontId="0" fillId="7" borderId="62" xfId="0" applyFill="1" applyBorder="1" applyAlignment="1">
      <alignment horizontal="left" vertical="center" wrapText="1"/>
    </xf>
    <xf numFmtId="0" fontId="0" fillId="7" borderId="63" xfId="0" applyFill="1" applyBorder="1" applyAlignment="1">
      <alignment horizontal="left" vertical="center" wrapText="1"/>
    </xf>
    <xf numFmtId="0" fontId="0" fillId="7" borderId="64" xfId="0" applyFill="1" applyBorder="1" applyAlignment="1">
      <alignment horizontal="left" vertical="center" wrapText="1"/>
    </xf>
    <xf numFmtId="0" fontId="0" fillId="7" borderId="66" xfId="0" applyFill="1" applyBorder="1" applyAlignment="1">
      <alignment horizontal="left" vertical="center" wrapText="1"/>
    </xf>
    <xf numFmtId="0" fontId="0" fillId="7" borderId="67" xfId="0" applyFill="1" applyBorder="1" applyAlignment="1">
      <alignment horizontal="left" vertical="center" wrapText="1"/>
    </xf>
    <xf numFmtId="0" fontId="0" fillId="7" borderId="68" xfId="0" applyFill="1" applyBorder="1" applyAlignment="1">
      <alignment horizontal="left" vertical="center" wrapText="1"/>
    </xf>
    <xf numFmtId="0" fontId="0" fillId="7" borderId="70" xfId="0" applyFill="1" applyBorder="1" applyAlignment="1">
      <alignment horizontal="left" vertical="center" wrapText="1"/>
    </xf>
    <xf numFmtId="0" fontId="0" fillId="7" borderId="71" xfId="0" applyFill="1" applyBorder="1" applyAlignment="1">
      <alignment horizontal="left" vertical="center" wrapText="1"/>
    </xf>
    <xf numFmtId="0" fontId="0" fillId="7" borderId="72" xfId="0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0D9F2"/>
      <color rgb="FFFFFFE1"/>
      <color rgb="FF6699FF"/>
      <color rgb="FF002D86"/>
      <color rgb="FFCCCC00"/>
      <color rgb="FFFFAFAF"/>
      <color rgb="FFB3FFB3"/>
      <color rgb="FFD9E6FF"/>
      <color rgb="FF9B9791"/>
      <color rgb="FFE7E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 1 -Carta de Medias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321148148148148"/>
          <c:y val="0.12452277236935953"/>
          <c:w val="0.84724925925925931"/>
          <c:h val="0.77750740740740742"/>
        </c:manualLayout>
      </c:layout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yVal>
            <c:numRef>
              <c:f>'Carta 0'!$C$7:$C$68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D-4D1E-B95B-CE83A0DB21DF}"/>
            </c:ext>
          </c:extLst>
        </c:ser>
        <c:ser>
          <c:idx val="2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yVal>
            <c:numRef>
              <c:f>'Carta 0'!$E$7:$E$68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8D-4D1E-B95B-CE83A0DB21DF}"/>
            </c:ext>
          </c:extLst>
        </c:ser>
        <c:ser>
          <c:idx val="3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yVal>
            <c:numRef>
              <c:f>'Carta 0'!$F$7:$F$68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8D-4D1E-B95B-CE83A0DB21DF}"/>
            </c:ext>
          </c:extLst>
        </c:ser>
        <c:ser>
          <c:idx val="4"/>
          <c:order val="3"/>
          <c:spPr>
            <a:ln w="19050" cap="rnd">
              <a:solidFill>
                <a:srgbClr val="FFFF00">
                  <a:alpha val="80000"/>
                </a:srgbClr>
              </a:solidFill>
              <a:prstDash val="lgDash"/>
              <a:round/>
            </a:ln>
            <a:effectLst/>
          </c:spPr>
          <c:marker>
            <c:symbol val="none"/>
          </c:marker>
          <c:yVal>
            <c:numRef>
              <c:f>'Carta 0'!$G$7:$G$68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8D-4D1E-B95B-CE83A0DB21DF}"/>
            </c:ext>
          </c:extLst>
        </c:ser>
        <c:ser>
          <c:idx val="5"/>
          <c:order val="4"/>
          <c:spPr>
            <a:ln w="19050" cap="rnd">
              <a:solidFill>
                <a:srgbClr val="FFFF00">
                  <a:alpha val="80000"/>
                </a:srgbClr>
              </a:solidFill>
              <a:prstDash val="lgDash"/>
              <a:round/>
            </a:ln>
            <a:effectLst/>
          </c:spPr>
          <c:marker>
            <c:symbol val="none"/>
          </c:marker>
          <c:yVal>
            <c:numRef>
              <c:f>'Carta 0'!$H$7:$H$68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8D-4D1E-B95B-CE83A0DB21DF}"/>
            </c:ext>
          </c:extLst>
        </c:ser>
        <c:ser>
          <c:idx val="6"/>
          <c:order val="5"/>
          <c:spPr>
            <a:ln w="19050" cap="rnd">
              <a:solidFill>
                <a:srgbClr val="00B050">
                  <a:alpha val="6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yVal>
            <c:numRef>
              <c:f>'Carta 0'!$I$7:$I$68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28D-4D1E-B95B-CE83A0DB21DF}"/>
            </c:ext>
          </c:extLst>
        </c:ser>
        <c:ser>
          <c:idx val="7"/>
          <c:order val="6"/>
          <c:spPr>
            <a:ln w="19050" cap="rnd">
              <a:solidFill>
                <a:srgbClr val="00B050">
                  <a:alpha val="6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yVal>
            <c:numRef>
              <c:f>'Carta 0'!$J$7:$J$68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28D-4D1E-B95B-CE83A0DB21DF}"/>
            </c:ext>
          </c:extLst>
        </c:ser>
        <c:ser>
          <c:idx val="0"/>
          <c:order val="7"/>
          <c:spPr>
            <a:ln w="28575" cap="rnd">
              <a:solidFill>
                <a:schemeClr val="accent1"/>
              </a:solidFill>
              <a:round/>
            </a:ln>
            <a:effectLst>
              <a:outerShdw blurRad="50800" dist="38100" dir="5400000" algn="t" rotWithShape="0">
                <a:prstClr val="black">
                  <a:alpha val="16000"/>
                </a:prstClr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>
                <a:outerShdw blurRad="50800" dist="38100" dir="5400000" algn="t" rotWithShape="0">
                  <a:prstClr val="black">
                    <a:alpha val="16000"/>
                  </a:prstClr>
                </a:outerShdw>
              </a:effectLst>
            </c:spPr>
          </c:marker>
          <c:xVal>
            <c:numRef>
              <c:f>Datos!$A$2:$A$61</c:f>
              <c:numCache>
                <c:formatCode>General</c:formatCode>
                <c:ptCount val="60"/>
              </c:numCache>
            </c:numRef>
          </c:xVal>
          <c:yVal>
            <c:numRef>
              <c:f>Datos!$B$2:$B$61</c:f>
              <c:numCache>
                <c:formatCode>0.000</c:formatCode>
                <c:ptCount val="60"/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Datos!#REF!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7-628D-4D1E-B95B-CE83A0DB2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522431"/>
        <c:axId val="1059523871"/>
      </c:scatterChart>
      <c:valAx>
        <c:axId val="1059522431"/>
        <c:scaling>
          <c:orientation val="minMax"/>
          <c:max val="6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3871"/>
        <c:crosses val="autoZero"/>
        <c:crossBetween val="midCat"/>
        <c:majorUnit val="5"/>
        <c:minorUnit val="5"/>
      </c:valAx>
      <c:valAx>
        <c:axId val="105952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2431"/>
        <c:crossesAt val="0"/>
        <c:crossBetween val="midCat"/>
      </c:valAx>
      <c:spPr>
        <a:solidFill>
          <a:schemeClr val="bg1">
            <a:lumMod val="85000"/>
          </a:schemeClr>
        </a:solidFill>
        <a:ln>
          <a:noFill/>
        </a:ln>
        <a:effectLst>
          <a:glow rad="101600">
            <a:schemeClr val="accent1">
              <a:satMod val="175000"/>
              <a:alpha val="1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50800" h="50800"/>
          <a:bevelB w="50800" h="50800"/>
        </a:sp3d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 1 -Rangos dinamicos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198055555555556"/>
          <c:y val="0.11895025252525253"/>
          <c:w val="0.86752376543209875"/>
          <c:h val="0.76776540404040405"/>
        </c:manualLayout>
      </c:layout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yVal>
            <c:numRef>
              <c:f>'Carta 0'!$L$7:$L$68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CC-4FFB-91F0-32AD5F32122C}"/>
            </c:ext>
          </c:extLst>
        </c:ser>
        <c:ser>
          <c:idx val="2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yVal>
            <c:numRef>
              <c:f>'Carta 0'!$M$7:$M$68</c:f>
              <c:numCache>
                <c:formatCode>General</c:formatCode>
                <c:ptCount val="62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CC-4FFB-91F0-32AD5F32122C}"/>
            </c:ext>
          </c:extLst>
        </c:ser>
        <c:ser>
          <c:idx val="3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yVal>
            <c:numRef>
              <c:f>'Carta 0'!$N$7:$N$68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CC-4FFB-91F0-32AD5F32122C}"/>
            </c:ext>
          </c:extLst>
        </c:ser>
        <c:ser>
          <c:idx val="0"/>
          <c:order val="3"/>
          <c:tx>
            <c:strRef>
              <c:f>'Carta 0'!$BR$5</c:f>
              <c:strCache>
                <c:ptCount val="1"/>
                <c:pt idx="0">
                  <c:v>RANGO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'Carta 0'!$BQ$7:$BQ$68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0'!$BR$7:$BR$68</c:f>
              <c:numCache>
                <c:formatCode>General</c:formatCode>
                <c:ptCount val="6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CC-4FFB-91F0-32AD5F321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432815"/>
        <c:axId val="1229439055"/>
      </c:scatterChart>
      <c:valAx>
        <c:axId val="1229432815"/>
        <c:scaling>
          <c:orientation val="minMax"/>
          <c:max val="6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9055"/>
        <c:crosses val="autoZero"/>
        <c:crossBetween val="midCat"/>
        <c:majorUnit val="5"/>
      </c:valAx>
      <c:valAx>
        <c:axId val="122943905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Rangos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2815"/>
        <c:crosses val="autoZero"/>
        <c:crossBetween val="midCat"/>
      </c:valAx>
      <c:spPr>
        <a:solidFill>
          <a:schemeClr val="bg1">
            <a:lumMod val="85000"/>
          </a:schemeClr>
        </a:solidFill>
        <a:ln>
          <a:noFill/>
        </a:ln>
        <a:effectLst>
          <a:glow rad="101600">
            <a:schemeClr val="accent1">
              <a:satMod val="175000"/>
              <a:alpha val="1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50800" h="50800"/>
          <a:bevelB w="50800" h="50800"/>
        </a:sp3d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 3 -Carta de Medias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1247561728395061"/>
          <c:y val="0.12452277236935953"/>
          <c:w val="0.86682808641975306"/>
          <c:h val="0.7787901515151515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'Carta 0'!$AK$6</c:f>
              <c:strCache>
                <c:ptCount val="1"/>
                <c:pt idx="0">
                  <c:v>Promedio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'Carta 0'!$AI$7:$AI$68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0'!$AK$7:$AK$68</c:f>
              <c:numCache>
                <c:formatCode>0.000</c:formatCode>
                <c:ptCount val="62"/>
                <c:pt idx="0">
                  <c:v>25.808199999999989</c:v>
                </c:pt>
                <c:pt idx="1">
                  <c:v>25.808199999999989</c:v>
                </c:pt>
                <c:pt idx="2">
                  <c:v>25.808199999999989</c:v>
                </c:pt>
                <c:pt idx="3">
                  <c:v>25.808199999999989</c:v>
                </c:pt>
                <c:pt idx="4">
                  <c:v>25.808199999999989</c:v>
                </c:pt>
                <c:pt idx="5">
                  <c:v>25.808199999999989</c:v>
                </c:pt>
                <c:pt idx="6">
                  <c:v>25.808199999999989</c:v>
                </c:pt>
                <c:pt idx="7">
                  <c:v>25.808199999999989</c:v>
                </c:pt>
                <c:pt idx="8">
                  <c:v>25.808199999999989</c:v>
                </c:pt>
                <c:pt idx="9">
                  <c:v>25.808199999999989</c:v>
                </c:pt>
                <c:pt idx="10">
                  <c:v>25.808199999999989</c:v>
                </c:pt>
                <c:pt idx="11">
                  <c:v>25.808199999999989</c:v>
                </c:pt>
                <c:pt idx="12">
                  <c:v>25.808199999999989</c:v>
                </c:pt>
                <c:pt idx="13">
                  <c:v>25.808199999999989</c:v>
                </c:pt>
                <c:pt idx="14">
                  <c:v>25.808199999999989</c:v>
                </c:pt>
                <c:pt idx="15">
                  <c:v>25.808199999999989</c:v>
                </c:pt>
                <c:pt idx="16">
                  <c:v>25.808199999999989</c:v>
                </c:pt>
                <c:pt idx="17">
                  <c:v>25.808199999999989</c:v>
                </c:pt>
                <c:pt idx="18">
                  <c:v>25.808199999999989</c:v>
                </c:pt>
                <c:pt idx="19">
                  <c:v>25.808199999999989</c:v>
                </c:pt>
                <c:pt idx="20">
                  <c:v>25.808199999999989</c:v>
                </c:pt>
                <c:pt idx="21">
                  <c:v>25.808199999999989</c:v>
                </c:pt>
                <c:pt idx="22">
                  <c:v>25.808199999999989</c:v>
                </c:pt>
                <c:pt idx="23">
                  <c:v>25.808199999999989</c:v>
                </c:pt>
                <c:pt idx="24">
                  <c:v>25.808199999999989</c:v>
                </c:pt>
                <c:pt idx="25">
                  <c:v>25.808199999999989</c:v>
                </c:pt>
                <c:pt idx="26">
                  <c:v>25.808199999999989</c:v>
                </c:pt>
                <c:pt idx="27">
                  <c:v>25.808199999999989</c:v>
                </c:pt>
                <c:pt idx="28">
                  <c:v>25.808199999999989</c:v>
                </c:pt>
                <c:pt idx="29">
                  <c:v>25.808199999999989</c:v>
                </c:pt>
                <c:pt idx="30">
                  <c:v>25.808199999999989</c:v>
                </c:pt>
                <c:pt idx="31">
                  <c:v>25.808199999999989</c:v>
                </c:pt>
                <c:pt idx="32">
                  <c:v>25.808199999999989</c:v>
                </c:pt>
                <c:pt idx="33">
                  <c:v>25.808199999999989</c:v>
                </c:pt>
                <c:pt idx="34">
                  <c:v>25.808199999999989</c:v>
                </c:pt>
                <c:pt idx="35">
                  <c:v>25.808199999999989</c:v>
                </c:pt>
                <c:pt idx="36">
                  <c:v>25.808199999999989</c:v>
                </c:pt>
                <c:pt idx="37">
                  <c:v>25.808199999999989</c:v>
                </c:pt>
                <c:pt idx="38">
                  <c:v>25.808199999999989</c:v>
                </c:pt>
                <c:pt idx="39">
                  <c:v>25.808199999999989</c:v>
                </c:pt>
                <c:pt idx="40">
                  <c:v>25.808199999999989</c:v>
                </c:pt>
                <c:pt idx="41">
                  <c:v>25.808199999999989</c:v>
                </c:pt>
                <c:pt idx="42">
                  <c:v>25.808199999999989</c:v>
                </c:pt>
                <c:pt idx="43">
                  <c:v>25.808199999999989</c:v>
                </c:pt>
                <c:pt idx="44">
                  <c:v>25.808199999999989</c:v>
                </c:pt>
                <c:pt idx="45">
                  <c:v>25.808199999999989</c:v>
                </c:pt>
                <c:pt idx="46">
                  <c:v>25.808199999999989</c:v>
                </c:pt>
                <c:pt idx="47">
                  <c:v>25.808199999999989</c:v>
                </c:pt>
                <c:pt idx="48">
                  <c:v>25.808199999999989</c:v>
                </c:pt>
                <c:pt idx="49">
                  <c:v>25.808199999999989</c:v>
                </c:pt>
                <c:pt idx="50">
                  <c:v>25.808199999999989</c:v>
                </c:pt>
                <c:pt idx="51">
                  <c:v>25.808199999999989</c:v>
                </c:pt>
                <c:pt idx="52">
                  <c:v>25.808199999999989</c:v>
                </c:pt>
                <c:pt idx="53">
                  <c:v>25.808199999999989</c:v>
                </c:pt>
                <c:pt idx="54">
                  <c:v>25.808199999999989</c:v>
                </c:pt>
                <c:pt idx="55">
                  <c:v>25.808199999999989</c:v>
                </c:pt>
                <c:pt idx="56">
                  <c:v>25.808199999999989</c:v>
                </c:pt>
                <c:pt idx="57">
                  <c:v>25.808199999999989</c:v>
                </c:pt>
                <c:pt idx="58">
                  <c:v>25.808199999999989</c:v>
                </c:pt>
                <c:pt idx="59">
                  <c:v>25.808199999999989</c:v>
                </c:pt>
                <c:pt idx="60">
                  <c:v>25.808199999999989</c:v>
                </c:pt>
                <c:pt idx="61">
                  <c:v>25.808199999999989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7E-4CF1-9EDC-A6B14F813048}"/>
            </c:ext>
          </c:extLst>
        </c:ser>
        <c:ser>
          <c:idx val="2"/>
          <c:order val="1"/>
          <c:tx>
            <c:strRef>
              <c:f>'Carta 0'!$AM$6</c:f>
              <c:strCache>
                <c:ptCount val="1"/>
                <c:pt idx="0">
                  <c:v>L.A.S.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0'!$AI$7:$AI$68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0'!$AM$7:$AM$68</c:f>
              <c:numCache>
                <c:formatCode>0.000</c:formatCode>
                <c:ptCount val="62"/>
                <c:pt idx="0">
                  <c:v>26.031700254219896</c:v>
                </c:pt>
                <c:pt idx="1">
                  <c:v>26.031700254219896</c:v>
                </c:pt>
                <c:pt idx="2">
                  <c:v>26.031700254219896</c:v>
                </c:pt>
                <c:pt idx="3">
                  <c:v>26.031700254219896</c:v>
                </c:pt>
                <c:pt idx="4">
                  <c:v>26.031700254219896</c:v>
                </c:pt>
                <c:pt idx="5">
                  <c:v>26.031700254219896</c:v>
                </c:pt>
                <c:pt idx="6">
                  <c:v>26.031700254219896</c:v>
                </c:pt>
                <c:pt idx="7">
                  <c:v>26.031700254219896</c:v>
                </c:pt>
                <c:pt idx="8">
                  <c:v>26.031700254219896</c:v>
                </c:pt>
                <c:pt idx="9">
                  <c:v>26.031700254219896</c:v>
                </c:pt>
                <c:pt idx="10">
                  <c:v>26.031700254219896</c:v>
                </c:pt>
                <c:pt idx="11">
                  <c:v>26.031700254219896</c:v>
                </c:pt>
                <c:pt idx="12">
                  <c:v>26.031700254219896</c:v>
                </c:pt>
                <c:pt idx="13">
                  <c:v>26.031700254219896</c:v>
                </c:pt>
                <c:pt idx="14">
                  <c:v>26.031700254219896</c:v>
                </c:pt>
                <c:pt idx="15">
                  <c:v>26.031700254219896</c:v>
                </c:pt>
                <c:pt idx="16">
                  <c:v>26.031700254219896</c:v>
                </c:pt>
                <c:pt idx="17">
                  <c:v>26.031700254219896</c:v>
                </c:pt>
                <c:pt idx="18">
                  <c:v>26.031700254219896</c:v>
                </c:pt>
                <c:pt idx="19">
                  <c:v>26.031700254219896</c:v>
                </c:pt>
                <c:pt idx="20">
                  <c:v>26.031700254219896</c:v>
                </c:pt>
                <c:pt idx="21">
                  <c:v>26.031700254219896</c:v>
                </c:pt>
                <c:pt idx="22">
                  <c:v>26.031700254219896</c:v>
                </c:pt>
                <c:pt idx="23">
                  <c:v>26.031700254219896</c:v>
                </c:pt>
                <c:pt idx="24">
                  <c:v>26.031700254219896</c:v>
                </c:pt>
                <c:pt idx="25">
                  <c:v>26.031700254219896</c:v>
                </c:pt>
                <c:pt idx="26">
                  <c:v>26.031700254219896</c:v>
                </c:pt>
                <c:pt idx="27">
                  <c:v>26.031700254219896</c:v>
                </c:pt>
                <c:pt idx="28">
                  <c:v>26.031700254219896</c:v>
                </c:pt>
                <c:pt idx="29">
                  <c:v>26.031700254219896</c:v>
                </c:pt>
                <c:pt idx="30">
                  <c:v>26.031700254219896</c:v>
                </c:pt>
                <c:pt idx="31">
                  <c:v>26.031700254219896</c:v>
                </c:pt>
                <c:pt idx="32">
                  <c:v>26.031700254219896</c:v>
                </c:pt>
                <c:pt idx="33">
                  <c:v>26.031700254219896</c:v>
                </c:pt>
                <c:pt idx="34">
                  <c:v>26.031700254219896</c:v>
                </c:pt>
                <c:pt idx="35">
                  <c:v>26.031700254219896</c:v>
                </c:pt>
                <c:pt idx="36">
                  <c:v>26.031700254219896</c:v>
                </c:pt>
                <c:pt idx="37">
                  <c:v>26.031700254219896</c:v>
                </c:pt>
                <c:pt idx="38">
                  <c:v>26.031700254219896</c:v>
                </c:pt>
                <c:pt idx="39">
                  <c:v>26.031700254219896</c:v>
                </c:pt>
                <c:pt idx="40">
                  <c:v>26.031700254219896</c:v>
                </c:pt>
                <c:pt idx="41">
                  <c:v>26.031700254219896</c:v>
                </c:pt>
                <c:pt idx="42">
                  <c:v>26.031700254219896</c:v>
                </c:pt>
                <c:pt idx="43">
                  <c:v>26.031700254219896</c:v>
                </c:pt>
                <c:pt idx="44">
                  <c:v>26.031700254219896</c:v>
                </c:pt>
                <c:pt idx="45">
                  <c:v>26.031700254219896</c:v>
                </c:pt>
                <c:pt idx="46">
                  <c:v>26.031700254219896</c:v>
                </c:pt>
                <c:pt idx="47">
                  <c:v>26.031700254219896</c:v>
                </c:pt>
                <c:pt idx="48">
                  <c:v>26.031700254219896</c:v>
                </c:pt>
                <c:pt idx="49">
                  <c:v>26.031700254219896</c:v>
                </c:pt>
                <c:pt idx="50">
                  <c:v>26.031700254219896</c:v>
                </c:pt>
                <c:pt idx="51">
                  <c:v>26.031700254219896</c:v>
                </c:pt>
                <c:pt idx="52">
                  <c:v>26.031700254219896</c:v>
                </c:pt>
                <c:pt idx="53">
                  <c:v>26.031700254219896</c:v>
                </c:pt>
                <c:pt idx="54">
                  <c:v>26.031700254219896</c:v>
                </c:pt>
                <c:pt idx="55">
                  <c:v>26.031700254219896</c:v>
                </c:pt>
                <c:pt idx="56">
                  <c:v>26.031700254219896</c:v>
                </c:pt>
                <c:pt idx="57">
                  <c:v>26.031700254219896</c:v>
                </c:pt>
                <c:pt idx="58">
                  <c:v>26.031700254219896</c:v>
                </c:pt>
                <c:pt idx="59">
                  <c:v>26.031700254219896</c:v>
                </c:pt>
                <c:pt idx="60">
                  <c:v>26.031700254219896</c:v>
                </c:pt>
                <c:pt idx="61">
                  <c:v>26.031700254219896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7E-4CF1-9EDC-A6B14F813048}"/>
            </c:ext>
          </c:extLst>
        </c:ser>
        <c:ser>
          <c:idx val="3"/>
          <c:order val="2"/>
          <c:tx>
            <c:strRef>
              <c:f>'Carta 0'!$AN$6</c:f>
              <c:strCache>
                <c:ptCount val="1"/>
                <c:pt idx="0">
                  <c:v>L.A.I.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0'!$AI$7:$AI$68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0'!$AN$7:$AN$68</c:f>
              <c:numCache>
                <c:formatCode>0.000</c:formatCode>
                <c:ptCount val="62"/>
                <c:pt idx="0">
                  <c:v>25.584699745780082</c:v>
                </c:pt>
                <c:pt idx="1">
                  <c:v>25.584699745780082</c:v>
                </c:pt>
                <c:pt idx="2">
                  <c:v>25.584699745780082</c:v>
                </c:pt>
                <c:pt idx="3">
                  <c:v>25.584699745780082</c:v>
                </c:pt>
                <c:pt idx="4">
                  <c:v>25.584699745780082</c:v>
                </c:pt>
                <c:pt idx="5">
                  <c:v>25.584699745780082</c:v>
                </c:pt>
                <c:pt idx="6">
                  <c:v>25.584699745780082</c:v>
                </c:pt>
                <c:pt idx="7">
                  <c:v>25.584699745780082</c:v>
                </c:pt>
                <c:pt idx="8">
                  <c:v>25.584699745780082</c:v>
                </c:pt>
                <c:pt idx="9">
                  <c:v>25.584699745780082</c:v>
                </c:pt>
                <c:pt idx="10">
                  <c:v>25.584699745780082</c:v>
                </c:pt>
                <c:pt idx="11">
                  <c:v>25.584699745780082</c:v>
                </c:pt>
                <c:pt idx="12">
                  <c:v>25.584699745780082</c:v>
                </c:pt>
                <c:pt idx="13">
                  <c:v>25.584699745780082</c:v>
                </c:pt>
                <c:pt idx="14">
                  <c:v>25.584699745780082</c:v>
                </c:pt>
                <c:pt idx="15">
                  <c:v>25.584699745780082</c:v>
                </c:pt>
                <c:pt idx="16">
                  <c:v>25.584699745780082</c:v>
                </c:pt>
                <c:pt idx="17">
                  <c:v>25.584699745780082</c:v>
                </c:pt>
                <c:pt idx="18">
                  <c:v>25.584699745780082</c:v>
                </c:pt>
                <c:pt idx="19">
                  <c:v>25.584699745780082</c:v>
                </c:pt>
                <c:pt idx="20">
                  <c:v>25.584699745780082</c:v>
                </c:pt>
                <c:pt idx="21">
                  <c:v>25.584699745780082</c:v>
                </c:pt>
                <c:pt idx="22">
                  <c:v>25.584699745780082</c:v>
                </c:pt>
                <c:pt idx="23">
                  <c:v>25.584699745780082</c:v>
                </c:pt>
                <c:pt idx="24">
                  <c:v>25.584699745780082</c:v>
                </c:pt>
                <c:pt idx="25">
                  <c:v>25.584699745780082</c:v>
                </c:pt>
                <c:pt idx="26">
                  <c:v>25.584699745780082</c:v>
                </c:pt>
                <c:pt idx="27">
                  <c:v>25.584699745780082</c:v>
                </c:pt>
                <c:pt idx="28">
                  <c:v>25.584699745780082</c:v>
                </c:pt>
                <c:pt idx="29">
                  <c:v>25.584699745780082</c:v>
                </c:pt>
                <c:pt idx="30">
                  <c:v>25.584699745780082</c:v>
                </c:pt>
                <c:pt idx="31">
                  <c:v>25.584699745780082</c:v>
                </c:pt>
                <c:pt idx="32">
                  <c:v>25.584699745780082</c:v>
                </c:pt>
                <c:pt idx="33">
                  <c:v>25.584699745780082</c:v>
                </c:pt>
                <c:pt idx="34">
                  <c:v>25.584699745780082</c:v>
                </c:pt>
                <c:pt idx="35">
                  <c:v>25.584699745780082</c:v>
                </c:pt>
                <c:pt idx="36">
                  <c:v>25.584699745780082</c:v>
                </c:pt>
                <c:pt idx="37">
                  <c:v>25.584699745780082</c:v>
                </c:pt>
                <c:pt idx="38">
                  <c:v>25.584699745780082</c:v>
                </c:pt>
                <c:pt idx="39">
                  <c:v>25.584699745780082</c:v>
                </c:pt>
                <c:pt idx="40">
                  <c:v>25.584699745780082</c:v>
                </c:pt>
                <c:pt idx="41">
                  <c:v>25.584699745780082</c:v>
                </c:pt>
                <c:pt idx="42">
                  <c:v>25.584699745780082</c:v>
                </c:pt>
                <c:pt idx="43">
                  <c:v>25.584699745780082</c:v>
                </c:pt>
                <c:pt idx="44">
                  <c:v>25.584699745780082</c:v>
                </c:pt>
                <c:pt idx="45">
                  <c:v>25.584699745780082</c:v>
                </c:pt>
                <c:pt idx="46">
                  <c:v>25.584699745780082</c:v>
                </c:pt>
                <c:pt idx="47">
                  <c:v>25.584699745780082</c:v>
                </c:pt>
                <c:pt idx="48">
                  <c:v>25.584699745780082</c:v>
                </c:pt>
                <c:pt idx="49">
                  <c:v>25.584699745780082</c:v>
                </c:pt>
                <c:pt idx="50">
                  <c:v>25.584699745780082</c:v>
                </c:pt>
                <c:pt idx="51">
                  <c:v>25.584699745780082</c:v>
                </c:pt>
                <c:pt idx="52">
                  <c:v>25.584699745780082</c:v>
                </c:pt>
                <c:pt idx="53">
                  <c:v>25.584699745780082</c:v>
                </c:pt>
                <c:pt idx="54">
                  <c:v>25.584699745780082</c:v>
                </c:pt>
                <c:pt idx="55">
                  <c:v>25.584699745780082</c:v>
                </c:pt>
                <c:pt idx="56">
                  <c:v>25.584699745780082</c:v>
                </c:pt>
                <c:pt idx="57">
                  <c:v>25.584699745780082</c:v>
                </c:pt>
                <c:pt idx="58">
                  <c:v>25.584699745780082</c:v>
                </c:pt>
                <c:pt idx="59">
                  <c:v>25.584699745780082</c:v>
                </c:pt>
                <c:pt idx="60">
                  <c:v>25.584699745780082</c:v>
                </c:pt>
                <c:pt idx="61">
                  <c:v>25.584699745780082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7E-4CF1-9EDC-A6B14F813048}"/>
            </c:ext>
          </c:extLst>
        </c:ser>
        <c:ser>
          <c:idx val="4"/>
          <c:order val="3"/>
          <c:tx>
            <c:strRef>
              <c:f>'Carta 0'!$AO$6</c:f>
              <c:strCache>
                <c:ptCount val="1"/>
                <c:pt idx="0">
                  <c:v>L.D.S.</c:v>
                </c:pt>
              </c:strCache>
            </c:strRef>
          </c:tx>
          <c:spPr>
            <a:ln w="19050" cap="rnd">
              <a:solidFill>
                <a:srgbClr val="FFFF00">
                  <a:alpha val="8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0'!$AI$7:$AI$68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0'!$AO$7:$AO$68</c:f>
              <c:numCache>
                <c:formatCode>0.000</c:formatCode>
                <c:ptCount val="62"/>
                <c:pt idx="0">
                  <c:v>25.957200169479929</c:v>
                </c:pt>
                <c:pt idx="1">
                  <c:v>25.957200169479929</c:v>
                </c:pt>
                <c:pt idx="2">
                  <c:v>25.957200169479929</c:v>
                </c:pt>
                <c:pt idx="3">
                  <c:v>25.957200169479929</c:v>
                </c:pt>
                <c:pt idx="4">
                  <c:v>25.957200169479929</c:v>
                </c:pt>
                <c:pt idx="5">
                  <c:v>25.957200169479929</c:v>
                </c:pt>
                <c:pt idx="6">
                  <c:v>25.957200169479929</c:v>
                </c:pt>
                <c:pt idx="7">
                  <c:v>25.957200169479929</c:v>
                </c:pt>
                <c:pt idx="8">
                  <c:v>25.957200169479929</c:v>
                </c:pt>
                <c:pt idx="9">
                  <c:v>25.957200169479929</c:v>
                </c:pt>
                <c:pt idx="10">
                  <c:v>25.957200169479929</c:v>
                </c:pt>
                <c:pt idx="11">
                  <c:v>25.957200169479929</c:v>
                </c:pt>
                <c:pt idx="12">
                  <c:v>25.957200169479929</c:v>
                </c:pt>
                <c:pt idx="13">
                  <c:v>25.957200169479929</c:v>
                </c:pt>
                <c:pt idx="14">
                  <c:v>25.957200169479929</c:v>
                </c:pt>
                <c:pt idx="15">
                  <c:v>25.957200169479929</c:v>
                </c:pt>
                <c:pt idx="16">
                  <c:v>25.957200169479929</c:v>
                </c:pt>
                <c:pt idx="17">
                  <c:v>25.957200169479929</c:v>
                </c:pt>
                <c:pt idx="18">
                  <c:v>25.957200169479929</c:v>
                </c:pt>
                <c:pt idx="19">
                  <c:v>25.957200169479929</c:v>
                </c:pt>
                <c:pt idx="20">
                  <c:v>25.957200169479929</c:v>
                </c:pt>
                <c:pt idx="21">
                  <c:v>25.957200169479929</c:v>
                </c:pt>
                <c:pt idx="22">
                  <c:v>25.957200169479929</c:v>
                </c:pt>
                <c:pt idx="23">
                  <c:v>25.957200169479929</c:v>
                </c:pt>
                <c:pt idx="24">
                  <c:v>25.957200169479929</c:v>
                </c:pt>
                <c:pt idx="25">
                  <c:v>25.957200169479929</c:v>
                </c:pt>
                <c:pt idx="26">
                  <c:v>25.957200169479929</c:v>
                </c:pt>
                <c:pt idx="27">
                  <c:v>25.957200169479929</c:v>
                </c:pt>
                <c:pt idx="28">
                  <c:v>25.957200169479929</c:v>
                </c:pt>
                <c:pt idx="29">
                  <c:v>25.957200169479929</c:v>
                </c:pt>
                <c:pt idx="30">
                  <c:v>25.957200169479929</c:v>
                </c:pt>
                <c:pt idx="31">
                  <c:v>25.957200169479929</c:v>
                </c:pt>
                <c:pt idx="32">
                  <c:v>25.957200169479929</c:v>
                </c:pt>
                <c:pt idx="33">
                  <c:v>25.957200169479929</c:v>
                </c:pt>
                <c:pt idx="34">
                  <c:v>25.957200169479929</c:v>
                </c:pt>
                <c:pt idx="35">
                  <c:v>25.957200169479929</c:v>
                </c:pt>
                <c:pt idx="36">
                  <c:v>25.957200169479929</c:v>
                </c:pt>
                <c:pt idx="37">
                  <c:v>25.957200169479929</c:v>
                </c:pt>
                <c:pt idx="38">
                  <c:v>25.957200169479929</c:v>
                </c:pt>
                <c:pt idx="39">
                  <c:v>25.957200169479929</c:v>
                </c:pt>
                <c:pt idx="40">
                  <c:v>25.957200169479929</c:v>
                </c:pt>
                <c:pt idx="41">
                  <c:v>25.957200169479929</c:v>
                </c:pt>
                <c:pt idx="42">
                  <c:v>25.957200169479929</c:v>
                </c:pt>
                <c:pt idx="43">
                  <c:v>25.957200169479929</c:v>
                </c:pt>
                <c:pt idx="44">
                  <c:v>25.957200169479929</c:v>
                </c:pt>
                <c:pt idx="45">
                  <c:v>25.957200169479929</c:v>
                </c:pt>
                <c:pt idx="46">
                  <c:v>25.957200169479929</c:v>
                </c:pt>
                <c:pt idx="47">
                  <c:v>25.957200169479929</c:v>
                </c:pt>
                <c:pt idx="48">
                  <c:v>25.957200169479929</c:v>
                </c:pt>
                <c:pt idx="49">
                  <c:v>25.957200169479929</c:v>
                </c:pt>
                <c:pt idx="50">
                  <c:v>25.957200169479929</c:v>
                </c:pt>
                <c:pt idx="51">
                  <c:v>25.957200169479929</c:v>
                </c:pt>
                <c:pt idx="52">
                  <c:v>25.957200169479929</c:v>
                </c:pt>
                <c:pt idx="53">
                  <c:v>25.957200169479929</c:v>
                </c:pt>
                <c:pt idx="54">
                  <c:v>25.957200169479929</c:v>
                </c:pt>
                <c:pt idx="55">
                  <c:v>25.957200169479929</c:v>
                </c:pt>
                <c:pt idx="56">
                  <c:v>25.957200169479929</c:v>
                </c:pt>
                <c:pt idx="57">
                  <c:v>25.957200169479929</c:v>
                </c:pt>
                <c:pt idx="58">
                  <c:v>25.957200169479929</c:v>
                </c:pt>
                <c:pt idx="59">
                  <c:v>25.957200169479929</c:v>
                </c:pt>
                <c:pt idx="60">
                  <c:v>25.957200169479929</c:v>
                </c:pt>
                <c:pt idx="61">
                  <c:v>25.957200169479929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87E-4CF1-9EDC-A6B14F813048}"/>
            </c:ext>
          </c:extLst>
        </c:ser>
        <c:ser>
          <c:idx val="5"/>
          <c:order val="4"/>
          <c:tx>
            <c:strRef>
              <c:f>'Carta 0'!$AP$6</c:f>
              <c:strCache>
                <c:ptCount val="1"/>
                <c:pt idx="0">
                  <c:v>L.D.I.</c:v>
                </c:pt>
              </c:strCache>
            </c:strRef>
          </c:tx>
          <c:spPr>
            <a:ln w="19050" cap="rnd">
              <a:solidFill>
                <a:srgbClr val="FFFF00">
                  <a:alpha val="8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0'!$AI$7:$AI$68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0'!$AP$7:$AP$68</c:f>
              <c:numCache>
                <c:formatCode>0.000</c:formatCode>
                <c:ptCount val="62"/>
                <c:pt idx="0">
                  <c:v>25.659199830520048</c:v>
                </c:pt>
                <c:pt idx="1">
                  <c:v>25.659199830520048</c:v>
                </c:pt>
                <c:pt idx="2">
                  <c:v>25.659199830520048</c:v>
                </c:pt>
                <c:pt idx="3">
                  <c:v>25.659199830520048</c:v>
                </c:pt>
                <c:pt idx="4">
                  <c:v>25.659199830520048</c:v>
                </c:pt>
                <c:pt idx="5">
                  <c:v>25.659199830520048</c:v>
                </c:pt>
                <c:pt idx="6">
                  <c:v>25.659199830520048</c:v>
                </c:pt>
                <c:pt idx="7">
                  <c:v>25.659199830520048</c:v>
                </c:pt>
                <c:pt idx="8">
                  <c:v>25.659199830520048</c:v>
                </c:pt>
                <c:pt idx="9">
                  <c:v>25.659199830520048</c:v>
                </c:pt>
                <c:pt idx="10">
                  <c:v>25.659199830520048</c:v>
                </c:pt>
                <c:pt idx="11">
                  <c:v>25.659199830520048</c:v>
                </c:pt>
                <c:pt idx="12">
                  <c:v>25.659199830520048</c:v>
                </c:pt>
                <c:pt idx="13">
                  <c:v>25.659199830520048</c:v>
                </c:pt>
                <c:pt idx="14">
                  <c:v>25.659199830520048</c:v>
                </c:pt>
                <c:pt idx="15">
                  <c:v>25.659199830520048</c:v>
                </c:pt>
                <c:pt idx="16">
                  <c:v>25.659199830520048</c:v>
                </c:pt>
                <c:pt idx="17">
                  <c:v>25.659199830520048</c:v>
                </c:pt>
                <c:pt idx="18">
                  <c:v>25.659199830520048</c:v>
                </c:pt>
                <c:pt idx="19">
                  <c:v>25.659199830520048</c:v>
                </c:pt>
                <c:pt idx="20">
                  <c:v>25.659199830520048</c:v>
                </c:pt>
                <c:pt idx="21">
                  <c:v>25.659199830520048</c:v>
                </c:pt>
                <c:pt idx="22">
                  <c:v>25.659199830520048</c:v>
                </c:pt>
                <c:pt idx="23">
                  <c:v>25.659199830520048</c:v>
                </c:pt>
                <c:pt idx="24">
                  <c:v>25.659199830520048</c:v>
                </c:pt>
                <c:pt idx="25">
                  <c:v>25.659199830520048</c:v>
                </c:pt>
                <c:pt idx="26">
                  <c:v>25.659199830520048</c:v>
                </c:pt>
                <c:pt idx="27">
                  <c:v>25.659199830520048</c:v>
                </c:pt>
                <c:pt idx="28">
                  <c:v>25.659199830520048</c:v>
                </c:pt>
                <c:pt idx="29">
                  <c:v>25.659199830520048</c:v>
                </c:pt>
                <c:pt idx="30">
                  <c:v>25.659199830520048</c:v>
                </c:pt>
                <c:pt idx="31">
                  <c:v>25.659199830520048</c:v>
                </c:pt>
                <c:pt idx="32">
                  <c:v>25.659199830520048</c:v>
                </c:pt>
                <c:pt idx="33">
                  <c:v>25.659199830520048</c:v>
                </c:pt>
                <c:pt idx="34">
                  <c:v>25.659199830520048</c:v>
                </c:pt>
                <c:pt idx="35">
                  <c:v>25.659199830520048</c:v>
                </c:pt>
                <c:pt idx="36">
                  <c:v>25.659199830520048</c:v>
                </c:pt>
                <c:pt idx="37">
                  <c:v>25.659199830520048</c:v>
                </c:pt>
                <c:pt idx="38">
                  <c:v>25.659199830520048</c:v>
                </c:pt>
                <c:pt idx="39">
                  <c:v>25.659199830520048</c:v>
                </c:pt>
                <c:pt idx="40">
                  <c:v>25.659199830520048</c:v>
                </c:pt>
                <c:pt idx="41">
                  <c:v>25.659199830520048</c:v>
                </c:pt>
                <c:pt idx="42">
                  <c:v>25.659199830520048</c:v>
                </c:pt>
                <c:pt idx="43">
                  <c:v>25.659199830520048</c:v>
                </c:pt>
                <c:pt idx="44">
                  <c:v>25.659199830520048</c:v>
                </c:pt>
                <c:pt idx="45">
                  <c:v>25.659199830520048</c:v>
                </c:pt>
                <c:pt idx="46">
                  <c:v>25.659199830520048</c:v>
                </c:pt>
                <c:pt idx="47">
                  <c:v>25.659199830520048</c:v>
                </c:pt>
                <c:pt idx="48">
                  <c:v>25.659199830520048</c:v>
                </c:pt>
                <c:pt idx="49">
                  <c:v>25.659199830520048</c:v>
                </c:pt>
                <c:pt idx="50">
                  <c:v>25.659199830520048</c:v>
                </c:pt>
                <c:pt idx="51">
                  <c:v>25.659199830520048</c:v>
                </c:pt>
                <c:pt idx="52">
                  <c:v>25.659199830520048</c:v>
                </c:pt>
                <c:pt idx="53">
                  <c:v>25.659199830520048</c:v>
                </c:pt>
                <c:pt idx="54">
                  <c:v>25.659199830520048</c:v>
                </c:pt>
                <c:pt idx="55">
                  <c:v>25.659199830520048</c:v>
                </c:pt>
                <c:pt idx="56">
                  <c:v>25.659199830520048</c:v>
                </c:pt>
                <c:pt idx="57">
                  <c:v>25.659199830520048</c:v>
                </c:pt>
                <c:pt idx="58">
                  <c:v>25.659199830520048</c:v>
                </c:pt>
                <c:pt idx="59">
                  <c:v>25.659199830520048</c:v>
                </c:pt>
                <c:pt idx="60">
                  <c:v>25.659199830520048</c:v>
                </c:pt>
                <c:pt idx="61">
                  <c:v>25.659199830520048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87E-4CF1-9EDC-A6B14F813048}"/>
            </c:ext>
          </c:extLst>
        </c:ser>
        <c:ser>
          <c:idx val="6"/>
          <c:order val="5"/>
          <c:tx>
            <c:strRef>
              <c:f>'Carta 0'!$Z$6</c:f>
              <c:strCache>
                <c:ptCount val="1"/>
                <c:pt idx="0">
                  <c:v>L.1S.S.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0'!$AI$7:$AI$68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0'!$AQ$7:$AQ$68</c:f>
              <c:numCache>
                <c:formatCode>0.000</c:formatCode>
                <c:ptCount val="62"/>
                <c:pt idx="0">
                  <c:v>25.882700084739959</c:v>
                </c:pt>
                <c:pt idx="1">
                  <c:v>25.882700084739959</c:v>
                </c:pt>
                <c:pt idx="2">
                  <c:v>25.882700084739959</c:v>
                </c:pt>
                <c:pt idx="3">
                  <c:v>25.882700084739959</c:v>
                </c:pt>
                <c:pt idx="4">
                  <c:v>25.882700084739959</c:v>
                </c:pt>
                <c:pt idx="5">
                  <c:v>25.882700084739959</c:v>
                </c:pt>
                <c:pt idx="6">
                  <c:v>25.882700084739959</c:v>
                </c:pt>
                <c:pt idx="7">
                  <c:v>25.882700084739959</c:v>
                </c:pt>
                <c:pt idx="8">
                  <c:v>25.882700084739959</c:v>
                </c:pt>
                <c:pt idx="9">
                  <c:v>25.882700084739959</c:v>
                </c:pt>
                <c:pt idx="10">
                  <c:v>25.882700084739959</c:v>
                </c:pt>
                <c:pt idx="11">
                  <c:v>25.882700084739959</c:v>
                </c:pt>
                <c:pt idx="12">
                  <c:v>25.882700084739959</c:v>
                </c:pt>
                <c:pt idx="13">
                  <c:v>25.882700084739959</c:v>
                </c:pt>
                <c:pt idx="14">
                  <c:v>25.882700084739959</c:v>
                </c:pt>
                <c:pt idx="15">
                  <c:v>25.882700084739959</c:v>
                </c:pt>
                <c:pt idx="16">
                  <c:v>25.882700084739959</c:v>
                </c:pt>
                <c:pt idx="17">
                  <c:v>25.882700084739959</c:v>
                </c:pt>
                <c:pt idx="18">
                  <c:v>25.882700084739959</c:v>
                </c:pt>
                <c:pt idx="19">
                  <c:v>25.882700084739959</c:v>
                </c:pt>
                <c:pt idx="20">
                  <c:v>25.882700084739959</c:v>
                </c:pt>
                <c:pt idx="21">
                  <c:v>25.882700084739959</c:v>
                </c:pt>
                <c:pt idx="22">
                  <c:v>25.882700084739959</c:v>
                </c:pt>
                <c:pt idx="23">
                  <c:v>25.882700084739959</c:v>
                </c:pt>
                <c:pt idx="24">
                  <c:v>25.882700084739959</c:v>
                </c:pt>
                <c:pt idx="25">
                  <c:v>25.882700084739959</c:v>
                </c:pt>
                <c:pt idx="26">
                  <c:v>25.882700084739959</c:v>
                </c:pt>
                <c:pt idx="27">
                  <c:v>25.882700084739959</c:v>
                </c:pt>
                <c:pt idx="28">
                  <c:v>25.882700084739959</c:v>
                </c:pt>
                <c:pt idx="29">
                  <c:v>25.882700084739959</c:v>
                </c:pt>
                <c:pt idx="30">
                  <c:v>25.882700084739959</c:v>
                </c:pt>
                <c:pt idx="31">
                  <c:v>25.882700084739959</c:v>
                </c:pt>
                <c:pt idx="32">
                  <c:v>25.882700084739959</c:v>
                </c:pt>
                <c:pt idx="33">
                  <c:v>25.882700084739959</c:v>
                </c:pt>
                <c:pt idx="34">
                  <c:v>25.882700084739959</c:v>
                </c:pt>
                <c:pt idx="35">
                  <c:v>25.882700084739959</c:v>
                </c:pt>
                <c:pt idx="36">
                  <c:v>25.882700084739959</c:v>
                </c:pt>
                <c:pt idx="37">
                  <c:v>25.882700084739959</c:v>
                </c:pt>
                <c:pt idx="38">
                  <c:v>25.882700084739959</c:v>
                </c:pt>
                <c:pt idx="39">
                  <c:v>25.882700084739959</c:v>
                </c:pt>
                <c:pt idx="40">
                  <c:v>25.882700084739959</c:v>
                </c:pt>
                <c:pt idx="41">
                  <c:v>25.882700084739959</c:v>
                </c:pt>
                <c:pt idx="42">
                  <c:v>25.882700084739959</c:v>
                </c:pt>
                <c:pt idx="43">
                  <c:v>25.882700084739959</c:v>
                </c:pt>
                <c:pt idx="44">
                  <c:v>25.882700084739959</c:v>
                </c:pt>
                <c:pt idx="45">
                  <c:v>25.882700084739959</c:v>
                </c:pt>
                <c:pt idx="46">
                  <c:v>25.882700084739959</c:v>
                </c:pt>
                <c:pt idx="47">
                  <c:v>25.882700084739959</c:v>
                </c:pt>
                <c:pt idx="48">
                  <c:v>25.882700084739959</c:v>
                </c:pt>
                <c:pt idx="49">
                  <c:v>25.882700084739959</c:v>
                </c:pt>
                <c:pt idx="50">
                  <c:v>25.882700084739959</c:v>
                </c:pt>
                <c:pt idx="51">
                  <c:v>25.882700084739959</c:v>
                </c:pt>
                <c:pt idx="52">
                  <c:v>25.882700084739959</c:v>
                </c:pt>
                <c:pt idx="53">
                  <c:v>25.882700084739959</c:v>
                </c:pt>
                <c:pt idx="54">
                  <c:v>25.882700084739959</c:v>
                </c:pt>
                <c:pt idx="55">
                  <c:v>25.882700084739959</c:v>
                </c:pt>
                <c:pt idx="56">
                  <c:v>25.882700084739959</c:v>
                </c:pt>
                <c:pt idx="57">
                  <c:v>25.882700084739959</c:v>
                </c:pt>
                <c:pt idx="58">
                  <c:v>25.882700084739959</c:v>
                </c:pt>
                <c:pt idx="59">
                  <c:v>25.882700084739959</c:v>
                </c:pt>
                <c:pt idx="60">
                  <c:v>25.882700084739959</c:v>
                </c:pt>
                <c:pt idx="61">
                  <c:v>25.882700084739959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87E-4CF1-9EDC-A6B14F813048}"/>
            </c:ext>
          </c:extLst>
        </c:ser>
        <c:ser>
          <c:idx val="7"/>
          <c:order val="6"/>
          <c:tx>
            <c:strRef>
              <c:f>'Carta 0'!$AR$6</c:f>
              <c:strCache>
                <c:ptCount val="1"/>
                <c:pt idx="0">
                  <c:v>L.1S.I.</c:v>
                </c:pt>
              </c:strCache>
            </c:strRef>
          </c:tx>
          <c:spPr>
            <a:ln w="19050" cap="rnd">
              <a:solidFill>
                <a:srgbClr val="00B050">
                  <a:alpha val="6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0'!$AI$7:$AI$68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0'!$AR$7:$AR$68</c:f>
              <c:numCache>
                <c:formatCode>0.000</c:formatCode>
                <c:ptCount val="62"/>
                <c:pt idx="0">
                  <c:v>25.733699915260019</c:v>
                </c:pt>
                <c:pt idx="1">
                  <c:v>25.733699915260019</c:v>
                </c:pt>
                <c:pt idx="2">
                  <c:v>25.733699915260019</c:v>
                </c:pt>
                <c:pt idx="3">
                  <c:v>25.733699915260019</c:v>
                </c:pt>
                <c:pt idx="4">
                  <c:v>25.733699915260019</c:v>
                </c:pt>
                <c:pt idx="5">
                  <c:v>25.733699915260019</c:v>
                </c:pt>
                <c:pt idx="6">
                  <c:v>25.733699915260019</c:v>
                </c:pt>
                <c:pt idx="7">
                  <c:v>25.733699915260019</c:v>
                </c:pt>
                <c:pt idx="8">
                  <c:v>25.733699915260019</c:v>
                </c:pt>
                <c:pt idx="9">
                  <c:v>25.733699915260019</c:v>
                </c:pt>
                <c:pt idx="10">
                  <c:v>25.733699915260019</c:v>
                </c:pt>
                <c:pt idx="11">
                  <c:v>25.733699915260019</c:v>
                </c:pt>
                <c:pt idx="12">
                  <c:v>25.733699915260019</c:v>
                </c:pt>
                <c:pt idx="13">
                  <c:v>25.733699915260019</c:v>
                </c:pt>
                <c:pt idx="14">
                  <c:v>25.733699915260019</c:v>
                </c:pt>
                <c:pt idx="15">
                  <c:v>25.733699915260019</c:v>
                </c:pt>
                <c:pt idx="16">
                  <c:v>25.733699915260019</c:v>
                </c:pt>
                <c:pt idx="17">
                  <c:v>25.733699915260019</c:v>
                </c:pt>
                <c:pt idx="18">
                  <c:v>25.733699915260019</c:v>
                </c:pt>
                <c:pt idx="19">
                  <c:v>25.733699915260019</c:v>
                </c:pt>
                <c:pt idx="20">
                  <c:v>25.733699915260019</c:v>
                </c:pt>
                <c:pt idx="21">
                  <c:v>25.733699915260019</c:v>
                </c:pt>
                <c:pt idx="22">
                  <c:v>25.733699915260019</c:v>
                </c:pt>
                <c:pt idx="23">
                  <c:v>25.733699915260019</c:v>
                </c:pt>
                <c:pt idx="24">
                  <c:v>25.733699915260019</c:v>
                </c:pt>
                <c:pt idx="25">
                  <c:v>25.733699915260019</c:v>
                </c:pt>
                <c:pt idx="26">
                  <c:v>25.733699915260019</c:v>
                </c:pt>
                <c:pt idx="27">
                  <c:v>25.733699915260019</c:v>
                </c:pt>
                <c:pt idx="28">
                  <c:v>25.733699915260019</c:v>
                </c:pt>
                <c:pt idx="29">
                  <c:v>25.733699915260019</c:v>
                </c:pt>
                <c:pt idx="30">
                  <c:v>25.733699915260019</c:v>
                </c:pt>
                <c:pt idx="31">
                  <c:v>25.733699915260019</c:v>
                </c:pt>
                <c:pt idx="32">
                  <c:v>25.733699915260019</c:v>
                </c:pt>
                <c:pt idx="33">
                  <c:v>25.733699915260019</c:v>
                </c:pt>
                <c:pt idx="34">
                  <c:v>25.733699915260019</c:v>
                </c:pt>
                <c:pt idx="35">
                  <c:v>25.733699915260019</c:v>
                </c:pt>
                <c:pt idx="36">
                  <c:v>25.733699915260019</c:v>
                </c:pt>
                <c:pt idx="37">
                  <c:v>25.733699915260019</c:v>
                </c:pt>
                <c:pt idx="38">
                  <c:v>25.733699915260019</c:v>
                </c:pt>
                <c:pt idx="39">
                  <c:v>25.733699915260019</c:v>
                </c:pt>
                <c:pt idx="40">
                  <c:v>25.733699915260019</c:v>
                </c:pt>
                <c:pt idx="41">
                  <c:v>25.733699915260019</c:v>
                </c:pt>
                <c:pt idx="42">
                  <c:v>25.733699915260019</c:v>
                </c:pt>
                <c:pt idx="43">
                  <c:v>25.733699915260019</c:v>
                </c:pt>
                <c:pt idx="44">
                  <c:v>25.733699915260019</c:v>
                </c:pt>
                <c:pt idx="45">
                  <c:v>25.733699915260019</c:v>
                </c:pt>
                <c:pt idx="46">
                  <c:v>25.733699915260019</c:v>
                </c:pt>
                <c:pt idx="47">
                  <c:v>25.733699915260019</c:v>
                </c:pt>
                <c:pt idx="48">
                  <c:v>25.733699915260019</c:v>
                </c:pt>
                <c:pt idx="49">
                  <c:v>25.733699915260019</c:v>
                </c:pt>
                <c:pt idx="50">
                  <c:v>25.733699915260019</c:v>
                </c:pt>
                <c:pt idx="51">
                  <c:v>25.733699915260019</c:v>
                </c:pt>
                <c:pt idx="52">
                  <c:v>25.733699915260019</c:v>
                </c:pt>
                <c:pt idx="53">
                  <c:v>25.733699915260019</c:v>
                </c:pt>
                <c:pt idx="54">
                  <c:v>25.733699915260019</c:v>
                </c:pt>
                <c:pt idx="55">
                  <c:v>25.733699915260019</c:v>
                </c:pt>
                <c:pt idx="56">
                  <c:v>25.733699915260019</c:v>
                </c:pt>
                <c:pt idx="57">
                  <c:v>25.733699915260019</c:v>
                </c:pt>
                <c:pt idx="58">
                  <c:v>25.733699915260019</c:v>
                </c:pt>
                <c:pt idx="59">
                  <c:v>25.733699915260019</c:v>
                </c:pt>
                <c:pt idx="60">
                  <c:v>25.733699915260019</c:v>
                </c:pt>
                <c:pt idx="61">
                  <c:v>25.733699915260019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87E-4CF1-9EDC-A6B14F813048}"/>
            </c:ext>
          </c:extLst>
        </c:ser>
        <c:ser>
          <c:idx val="0"/>
          <c:order val="7"/>
          <c:tx>
            <c:strRef>
              <c:f>Datos!$D$1</c:f>
              <c:strCache>
                <c:ptCount val="1"/>
                <c:pt idx="0">
                  <c:v>CAPILAR 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Datos!$A$2:$A$61</c:f>
              <c:numCache>
                <c:formatCode>General</c:formatCode>
                <c:ptCount val="60"/>
              </c:numCache>
            </c:numRef>
          </c:xVal>
          <c:yVal>
            <c:numRef>
              <c:f>Datos!$D$2:$D$61</c:f>
              <c:numCache>
                <c:formatCode>0.00</c:formatCode>
                <c:ptCount val="6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87E-4CF1-9EDC-A6B14F813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522431"/>
        <c:axId val="1059523871"/>
      </c:scatterChart>
      <c:valAx>
        <c:axId val="1059522431"/>
        <c:scaling>
          <c:orientation val="minMax"/>
          <c:max val="6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3871"/>
        <c:crosses val="autoZero"/>
        <c:crossBetween val="midCat"/>
        <c:majorUnit val="5"/>
        <c:minorUnit val="5"/>
      </c:valAx>
      <c:valAx>
        <c:axId val="105952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2431"/>
        <c:crossesAt val="0"/>
        <c:crossBetween val="midCat"/>
      </c:valAx>
      <c:spPr>
        <a:solidFill>
          <a:schemeClr val="bg1">
            <a:lumMod val="85000"/>
          </a:schemeClr>
        </a:solidFill>
        <a:ln>
          <a:noFill/>
        </a:ln>
        <a:effectLst>
          <a:glow rad="101600">
            <a:schemeClr val="accent1">
              <a:satMod val="175000"/>
              <a:alpha val="1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50800" h="50800"/>
          <a:bevelB w="50800" h="50800"/>
        </a:sp3d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 3 -Rangos dinamicos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198055555555556"/>
          <c:y val="0.11895025252525253"/>
          <c:w val="0.86164413580246912"/>
          <c:h val="0.7709724747474747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'Carta 0'!$AT$6</c:f>
              <c:strCache>
                <c:ptCount val="1"/>
                <c:pt idx="0">
                  <c:v>Promedio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'Carta 0'!$AI$7:$AI$68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0'!$AT$7:$AT$68</c:f>
              <c:numCache>
                <c:formatCode>0.00</c:formatCode>
                <c:ptCount val="62"/>
                <c:pt idx="0">
                  <c:v>6.6666666666666249E-2</c:v>
                </c:pt>
                <c:pt idx="1">
                  <c:v>6.6666666666666249E-2</c:v>
                </c:pt>
                <c:pt idx="2">
                  <c:v>6.6666666666666249E-2</c:v>
                </c:pt>
                <c:pt idx="3">
                  <c:v>6.6666666666666249E-2</c:v>
                </c:pt>
                <c:pt idx="4">
                  <c:v>6.6666666666666249E-2</c:v>
                </c:pt>
                <c:pt idx="5">
                  <c:v>6.6666666666666249E-2</c:v>
                </c:pt>
                <c:pt idx="6">
                  <c:v>6.6666666666666249E-2</c:v>
                </c:pt>
                <c:pt idx="7">
                  <c:v>6.6666666666666249E-2</c:v>
                </c:pt>
                <c:pt idx="8">
                  <c:v>6.6666666666666249E-2</c:v>
                </c:pt>
                <c:pt idx="9">
                  <c:v>6.6666666666666249E-2</c:v>
                </c:pt>
                <c:pt idx="10">
                  <c:v>6.6666666666666249E-2</c:v>
                </c:pt>
                <c:pt idx="11">
                  <c:v>6.6666666666666249E-2</c:v>
                </c:pt>
                <c:pt idx="12">
                  <c:v>6.6666666666666249E-2</c:v>
                </c:pt>
                <c:pt idx="13">
                  <c:v>6.6666666666666249E-2</c:v>
                </c:pt>
                <c:pt idx="14">
                  <c:v>6.6666666666666249E-2</c:v>
                </c:pt>
                <c:pt idx="15">
                  <c:v>6.6666666666666249E-2</c:v>
                </c:pt>
                <c:pt idx="16">
                  <c:v>6.6666666666666249E-2</c:v>
                </c:pt>
                <c:pt idx="17">
                  <c:v>6.6666666666666249E-2</c:v>
                </c:pt>
                <c:pt idx="18">
                  <c:v>6.6666666666666249E-2</c:v>
                </c:pt>
                <c:pt idx="19">
                  <c:v>6.6666666666666249E-2</c:v>
                </c:pt>
                <c:pt idx="20">
                  <c:v>6.6666666666666249E-2</c:v>
                </c:pt>
                <c:pt idx="21">
                  <c:v>6.6666666666666249E-2</c:v>
                </c:pt>
                <c:pt idx="22">
                  <c:v>6.6666666666666249E-2</c:v>
                </c:pt>
                <c:pt idx="23">
                  <c:v>6.6666666666666249E-2</c:v>
                </c:pt>
                <c:pt idx="24">
                  <c:v>6.6666666666666249E-2</c:v>
                </c:pt>
                <c:pt idx="25">
                  <c:v>6.6666666666666249E-2</c:v>
                </c:pt>
                <c:pt idx="26">
                  <c:v>6.6666666666666249E-2</c:v>
                </c:pt>
                <c:pt idx="27">
                  <c:v>6.6666666666666249E-2</c:v>
                </c:pt>
                <c:pt idx="28">
                  <c:v>6.6666666666666249E-2</c:v>
                </c:pt>
                <c:pt idx="29">
                  <c:v>6.6666666666666249E-2</c:v>
                </c:pt>
                <c:pt idx="30">
                  <c:v>6.6666666666666249E-2</c:v>
                </c:pt>
                <c:pt idx="31">
                  <c:v>6.6666666666666249E-2</c:v>
                </c:pt>
                <c:pt idx="32">
                  <c:v>6.6666666666666249E-2</c:v>
                </c:pt>
                <c:pt idx="33">
                  <c:v>6.6666666666666249E-2</c:v>
                </c:pt>
                <c:pt idx="34">
                  <c:v>6.6666666666666249E-2</c:v>
                </c:pt>
                <c:pt idx="35">
                  <c:v>6.6666666666666249E-2</c:v>
                </c:pt>
                <c:pt idx="36">
                  <c:v>6.6666666666666249E-2</c:v>
                </c:pt>
                <c:pt idx="37">
                  <c:v>6.6666666666666249E-2</c:v>
                </c:pt>
                <c:pt idx="38">
                  <c:v>6.6666666666666249E-2</c:v>
                </c:pt>
                <c:pt idx="39">
                  <c:v>6.6666666666666249E-2</c:v>
                </c:pt>
                <c:pt idx="40">
                  <c:v>6.6666666666666249E-2</c:v>
                </c:pt>
                <c:pt idx="41">
                  <c:v>6.6666666666666249E-2</c:v>
                </c:pt>
                <c:pt idx="42">
                  <c:v>6.6666666666666249E-2</c:v>
                </c:pt>
                <c:pt idx="43">
                  <c:v>6.6666666666666249E-2</c:v>
                </c:pt>
                <c:pt idx="44">
                  <c:v>6.6666666666666249E-2</c:v>
                </c:pt>
                <c:pt idx="45">
                  <c:v>6.6666666666666249E-2</c:v>
                </c:pt>
                <c:pt idx="46">
                  <c:v>6.6666666666666249E-2</c:v>
                </c:pt>
                <c:pt idx="47">
                  <c:v>6.6666666666666249E-2</c:v>
                </c:pt>
                <c:pt idx="48">
                  <c:v>6.6666666666666249E-2</c:v>
                </c:pt>
                <c:pt idx="49">
                  <c:v>6.6666666666666249E-2</c:v>
                </c:pt>
                <c:pt idx="50">
                  <c:v>6.6666666666666249E-2</c:v>
                </c:pt>
                <c:pt idx="51">
                  <c:v>6.6666666666666249E-2</c:v>
                </c:pt>
                <c:pt idx="52">
                  <c:v>6.6666666666666249E-2</c:v>
                </c:pt>
                <c:pt idx="53">
                  <c:v>6.6666666666666249E-2</c:v>
                </c:pt>
                <c:pt idx="54">
                  <c:v>6.6666666666666249E-2</c:v>
                </c:pt>
                <c:pt idx="55">
                  <c:v>6.6666666666666249E-2</c:v>
                </c:pt>
                <c:pt idx="56">
                  <c:v>6.6666666666666249E-2</c:v>
                </c:pt>
                <c:pt idx="57">
                  <c:v>6.6666666666666249E-2</c:v>
                </c:pt>
                <c:pt idx="58">
                  <c:v>6.6666666666666249E-2</c:v>
                </c:pt>
                <c:pt idx="59">
                  <c:v>6.6666666666666249E-2</c:v>
                </c:pt>
                <c:pt idx="60">
                  <c:v>6.6666666666666249E-2</c:v>
                </c:pt>
                <c:pt idx="61">
                  <c:v>6.6666666666666249E-2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84-41DF-8A37-AC93AA472C5C}"/>
            </c:ext>
          </c:extLst>
        </c:ser>
        <c:ser>
          <c:idx val="2"/>
          <c:order val="1"/>
          <c:tx>
            <c:strRef>
              <c:f>'Carta 0'!$AU$6</c:f>
              <c:strCache>
                <c:ptCount val="1"/>
                <c:pt idx="0">
                  <c:v>LCI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0'!$AI$7:$AI$68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0'!$AU$7:$AU$68</c:f>
              <c:numCache>
                <c:formatCode>General</c:formatCode>
                <c:ptCount val="62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  <c:pt idx="15" formatCode="0.00">
                  <c:v>0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84-41DF-8A37-AC93AA472C5C}"/>
            </c:ext>
          </c:extLst>
        </c:ser>
        <c:ser>
          <c:idx val="3"/>
          <c:order val="2"/>
          <c:tx>
            <c:strRef>
              <c:f>'Carta 0'!$AV$6</c:f>
              <c:strCache>
                <c:ptCount val="1"/>
                <c:pt idx="0">
                  <c:v>LCS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0'!$AI$7:$AI$68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0'!$AV$7:$AV$68</c:f>
              <c:numCache>
                <c:formatCode>0.00</c:formatCode>
                <c:ptCount val="62"/>
                <c:pt idx="0">
                  <c:v>0.21790666666666531</c:v>
                </c:pt>
                <c:pt idx="1">
                  <c:v>0.21790666666666531</c:v>
                </c:pt>
                <c:pt idx="2">
                  <c:v>0.21790666666666531</c:v>
                </c:pt>
                <c:pt idx="3">
                  <c:v>0.21790666666666531</c:v>
                </c:pt>
                <c:pt idx="4">
                  <c:v>0.21790666666666531</c:v>
                </c:pt>
                <c:pt idx="5">
                  <c:v>0.21790666666666531</c:v>
                </c:pt>
                <c:pt idx="6">
                  <c:v>0.21790666666666531</c:v>
                </c:pt>
                <c:pt idx="7">
                  <c:v>0.21790666666666531</c:v>
                </c:pt>
                <c:pt idx="8">
                  <c:v>0.21790666666666531</c:v>
                </c:pt>
                <c:pt idx="9">
                  <c:v>0.21790666666666531</c:v>
                </c:pt>
                <c:pt idx="10">
                  <c:v>0.21790666666666531</c:v>
                </c:pt>
                <c:pt idx="11">
                  <c:v>0.21790666666666531</c:v>
                </c:pt>
                <c:pt idx="12">
                  <c:v>0.21790666666666531</c:v>
                </c:pt>
                <c:pt idx="13">
                  <c:v>0.21790666666666531</c:v>
                </c:pt>
                <c:pt idx="14">
                  <c:v>0.21790666666666531</c:v>
                </c:pt>
                <c:pt idx="15">
                  <c:v>0.21790666666666531</c:v>
                </c:pt>
                <c:pt idx="16">
                  <c:v>0.21790666666666531</c:v>
                </c:pt>
                <c:pt idx="17">
                  <c:v>0.21790666666666531</c:v>
                </c:pt>
                <c:pt idx="18">
                  <c:v>0.21790666666666531</c:v>
                </c:pt>
                <c:pt idx="19">
                  <c:v>0.21790666666666531</c:v>
                </c:pt>
                <c:pt idx="20">
                  <c:v>0.21790666666666531</c:v>
                </c:pt>
                <c:pt idx="21">
                  <c:v>0.21790666666666531</c:v>
                </c:pt>
                <c:pt idx="22">
                  <c:v>0.21790666666666531</c:v>
                </c:pt>
                <c:pt idx="23">
                  <c:v>0.21790666666666531</c:v>
                </c:pt>
                <c:pt idx="24">
                  <c:v>0.21790666666666531</c:v>
                </c:pt>
                <c:pt idx="25">
                  <c:v>0.21790666666666531</c:v>
                </c:pt>
                <c:pt idx="26">
                  <c:v>0.21790666666666531</c:v>
                </c:pt>
                <c:pt idx="27">
                  <c:v>0.21790666666666531</c:v>
                </c:pt>
                <c:pt idx="28">
                  <c:v>0.21790666666666531</c:v>
                </c:pt>
                <c:pt idx="29">
                  <c:v>0.21790666666666531</c:v>
                </c:pt>
                <c:pt idx="30">
                  <c:v>0.21790666666666531</c:v>
                </c:pt>
                <c:pt idx="31">
                  <c:v>0.21790666666666531</c:v>
                </c:pt>
                <c:pt idx="32">
                  <c:v>0.21790666666666531</c:v>
                </c:pt>
                <c:pt idx="33">
                  <c:v>0.21790666666666531</c:v>
                </c:pt>
                <c:pt idx="34">
                  <c:v>0.21790666666666531</c:v>
                </c:pt>
                <c:pt idx="35">
                  <c:v>0.21790666666666531</c:v>
                </c:pt>
                <c:pt idx="36">
                  <c:v>0.21790666666666531</c:v>
                </c:pt>
                <c:pt idx="37">
                  <c:v>0.21790666666666531</c:v>
                </c:pt>
                <c:pt idx="38">
                  <c:v>0.21790666666666531</c:v>
                </c:pt>
                <c:pt idx="39">
                  <c:v>0.21790666666666531</c:v>
                </c:pt>
                <c:pt idx="40">
                  <c:v>0.21790666666666531</c:v>
                </c:pt>
                <c:pt idx="41">
                  <c:v>0.21790666666666531</c:v>
                </c:pt>
                <c:pt idx="42">
                  <c:v>0.21790666666666531</c:v>
                </c:pt>
                <c:pt idx="43">
                  <c:v>0.21790666666666531</c:v>
                </c:pt>
                <c:pt idx="44">
                  <c:v>0.21790666666666531</c:v>
                </c:pt>
                <c:pt idx="45">
                  <c:v>0.21790666666666531</c:v>
                </c:pt>
                <c:pt idx="46">
                  <c:v>0.21790666666666531</c:v>
                </c:pt>
                <c:pt idx="47">
                  <c:v>0.21790666666666531</c:v>
                </c:pt>
                <c:pt idx="48">
                  <c:v>0.21790666666666531</c:v>
                </c:pt>
                <c:pt idx="49">
                  <c:v>0.21790666666666531</c:v>
                </c:pt>
                <c:pt idx="50">
                  <c:v>0.21790666666666531</c:v>
                </c:pt>
                <c:pt idx="51">
                  <c:v>0.21790666666666531</c:v>
                </c:pt>
                <c:pt idx="52">
                  <c:v>0.21790666666666531</c:v>
                </c:pt>
                <c:pt idx="53">
                  <c:v>0.21790666666666531</c:v>
                </c:pt>
                <c:pt idx="54">
                  <c:v>0.21790666666666531</c:v>
                </c:pt>
                <c:pt idx="55">
                  <c:v>0.21790666666666531</c:v>
                </c:pt>
                <c:pt idx="56">
                  <c:v>0.21790666666666531</c:v>
                </c:pt>
                <c:pt idx="57">
                  <c:v>0.21790666666666531</c:v>
                </c:pt>
                <c:pt idx="58">
                  <c:v>0.21790666666666531</c:v>
                </c:pt>
                <c:pt idx="59">
                  <c:v>0.21790666666666531</c:v>
                </c:pt>
                <c:pt idx="60">
                  <c:v>0.21790666666666531</c:v>
                </c:pt>
                <c:pt idx="61">
                  <c:v>0.21790666666666531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84-41DF-8A37-AC93AA472C5C}"/>
            </c:ext>
          </c:extLst>
        </c:ser>
        <c:ser>
          <c:idx val="0"/>
          <c:order val="3"/>
          <c:tx>
            <c:strRef>
              <c:f>'Carta 0'!$AS$6</c:f>
              <c:strCache>
                <c:ptCount val="1"/>
                <c:pt idx="0">
                  <c:v>rango movil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'Carta 0'!$BQ$7:$BQ$68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0'!$BT$7:$BT$68</c:f>
              <c:numCache>
                <c:formatCode>General</c:formatCode>
                <c:ptCount val="6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84-41DF-8A37-AC93AA472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432815"/>
        <c:axId val="1229439055"/>
      </c:scatterChart>
      <c:valAx>
        <c:axId val="1229432815"/>
        <c:scaling>
          <c:orientation val="minMax"/>
          <c:max val="6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9055"/>
        <c:crosses val="autoZero"/>
        <c:crossBetween val="midCat"/>
        <c:majorUnit val="5"/>
      </c:valAx>
      <c:valAx>
        <c:axId val="122943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Rangos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2815"/>
        <c:crosses val="autoZero"/>
        <c:crossBetween val="midCat"/>
      </c:valAx>
      <c:spPr>
        <a:solidFill>
          <a:schemeClr val="bg1">
            <a:lumMod val="85000"/>
          </a:schemeClr>
        </a:solidFill>
        <a:ln>
          <a:noFill/>
        </a:ln>
        <a:effectLst>
          <a:glow rad="101600">
            <a:schemeClr val="accent1">
              <a:satMod val="175000"/>
              <a:alpha val="1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50800" h="50800"/>
          <a:bevelB w="50800" h="50800"/>
        </a:sp3d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 2 -Carta de Medias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647791545306018"/>
          <c:y val="0.12138658200566557"/>
          <c:w val="0.87073672787738998"/>
          <c:h val="0.7854881235844125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'Carta 0'!$T$6</c:f>
              <c:strCache>
                <c:ptCount val="1"/>
                <c:pt idx="0">
                  <c:v>Promedio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'Carta 0'!$R$7:$R$68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0'!$T$7:$T$68</c:f>
              <c:numCache>
                <c:formatCode>0.000</c:formatCode>
                <c:ptCount val="62"/>
                <c:pt idx="0">
                  <c:v>6.3964700000000017</c:v>
                </c:pt>
                <c:pt idx="1">
                  <c:v>6.3964700000000017</c:v>
                </c:pt>
                <c:pt idx="2">
                  <c:v>6.3964700000000017</c:v>
                </c:pt>
                <c:pt idx="3">
                  <c:v>6.3964700000000017</c:v>
                </c:pt>
                <c:pt idx="4">
                  <c:v>6.3964700000000017</c:v>
                </c:pt>
                <c:pt idx="5">
                  <c:v>6.3964700000000017</c:v>
                </c:pt>
                <c:pt idx="6">
                  <c:v>6.3964700000000017</c:v>
                </c:pt>
                <c:pt idx="7">
                  <c:v>6.3964700000000017</c:v>
                </c:pt>
                <c:pt idx="8">
                  <c:v>6.3964700000000017</c:v>
                </c:pt>
                <c:pt idx="9">
                  <c:v>6.3964700000000017</c:v>
                </c:pt>
                <c:pt idx="10">
                  <c:v>6.3964700000000017</c:v>
                </c:pt>
                <c:pt idx="11">
                  <c:v>6.3964700000000017</c:v>
                </c:pt>
                <c:pt idx="12">
                  <c:v>6.3964700000000017</c:v>
                </c:pt>
                <c:pt idx="13">
                  <c:v>6.3964700000000017</c:v>
                </c:pt>
                <c:pt idx="14">
                  <c:v>6.3964700000000017</c:v>
                </c:pt>
                <c:pt idx="15">
                  <c:v>6.3964700000000017</c:v>
                </c:pt>
                <c:pt idx="16">
                  <c:v>6.3964700000000017</c:v>
                </c:pt>
                <c:pt idx="17">
                  <c:v>6.3964700000000017</c:v>
                </c:pt>
                <c:pt idx="18">
                  <c:v>6.3964700000000017</c:v>
                </c:pt>
                <c:pt idx="19">
                  <c:v>6.3964700000000017</c:v>
                </c:pt>
                <c:pt idx="20">
                  <c:v>6.3964700000000017</c:v>
                </c:pt>
                <c:pt idx="21">
                  <c:v>6.3964700000000017</c:v>
                </c:pt>
                <c:pt idx="22">
                  <c:v>6.3964700000000017</c:v>
                </c:pt>
                <c:pt idx="23">
                  <c:v>6.3964700000000017</c:v>
                </c:pt>
                <c:pt idx="24">
                  <c:v>6.3964700000000017</c:v>
                </c:pt>
                <c:pt idx="25">
                  <c:v>6.3964700000000017</c:v>
                </c:pt>
                <c:pt idx="26">
                  <c:v>6.3964700000000017</c:v>
                </c:pt>
                <c:pt idx="27">
                  <c:v>6.3964700000000017</c:v>
                </c:pt>
                <c:pt idx="28">
                  <c:v>6.3964700000000017</c:v>
                </c:pt>
                <c:pt idx="29">
                  <c:v>6.3964700000000017</c:v>
                </c:pt>
                <c:pt idx="30">
                  <c:v>6.3964700000000017</c:v>
                </c:pt>
                <c:pt idx="31">
                  <c:v>6.3964700000000017</c:v>
                </c:pt>
                <c:pt idx="32">
                  <c:v>6.3964700000000017</c:v>
                </c:pt>
                <c:pt idx="33">
                  <c:v>6.3964700000000017</c:v>
                </c:pt>
                <c:pt idx="34">
                  <c:v>6.3964700000000017</c:v>
                </c:pt>
                <c:pt idx="35">
                  <c:v>6.3964700000000017</c:v>
                </c:pt>
                <c:pt idx="36">
                  <c:v>6.3964700000000017</c:v>
                </c:pt>
                <c:pt idx="37">
                  <c:v>6.3964700000000017</c:v>
                </c:pt>
                <c:pt idx="38">
                  <c:v>6.3964700000000017</c:v>
                </c:pt>
                <c:pt idx="39">
                  <c:v>6.3964700000000017</c:v>
                </c:pt>
                <c:pt idx="40">
                  <c:v>6.3964700000000017</c:v>
                </c:pt>
                <c:pt idx="41">
                  <c:v>6.3964700000000017</c:v>
                </c:pt>
                <c:pt idx="42">
                  <c:v>6.3964700000000017</c:v>
                </c:pt>
                <c:pt idx="43">
                  <c:v>6.3964700000000017</c:v>
                </c:pt>
                <c:pt idx="44">
                  <c:v>6.3964700000000017</c:v>
                </c:pt>
                <c:pt idx="45">
                  <c:v>6.3964700000000017</c:v>
                </c:pt>
                <c:pt idx="46">
                  <c:v>6.3964700000000017</c:v>
                </c:pt>
                <c:pt idx="47">
                  <c:v>6.3964700000000017</c:v>
                </c:pt>
                <c:pt idx="48">
                  <c:v>6.3964700000000017</c:v>
                </c:pt>
                <c:pt idx="49">
                  <c:v>6.3964700000000017</c:v>
                </c:pt>
                <c:pt idx="50">
                  <c:v>6.3964700000000017</c:v>
                </c:pt>
                <c:pt idx="51">
                  <c:v>6.3964700000000017</c:v>
                </c:pt>
                <c:pt idx="52">
                  <c:v>6.3964700000000017</c:v>
                </c:pt>
                <c:pt idx="53">
                  <c:v>6.3964700000000017</c:v>
                </c:pt>
                <c:pt idx="54">
                  <c:v>6.3964700000000017</c:v>
                </c:pt>
                <c:pt idx="55">
                  <c:v>6.3964700000000017</c:v>
                </c:pt>
                <c:pt idx="56">
                  <c:v>6.3964700000000017</c:v>
                </c:pt>
                <c:pt idx="57">
                  <c:v>6.3964700000000017</c:v>
                </c:pt>
                <c:pt idx="58">
                  <c:v>6.3964700000000017</c:v>
                </c:pt>
                <c:pt idx="59">
                  <c:v>6.3964700000000017</c:v>
                </c:pt>
                <c:pt idx="60">
                  <c:v>6.3964700000000017</c:v>
                </c:pt>
                <c:pt idx="61">
                  <c:v>6.3964700000000017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D3-4F99-A79E-99EA6967332B}"/>
            </c:ext>
          </c:extLst>
        </c:ser>
        <c:ser>
          <c:idx val="2"/>
          <c:order val="1"/>
          <c:tx>
            <c:strRef>
              <c:f>'Carta 0'!$V$6</c:f>
              <c:strCache>
                <c:ptCount val="1"/>
                <c:pt idx="0">
                  <c:v>L.A.S.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0'!$R$7:$R$68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0'!$V$7:$V$68</c:f>
              <c:numCache>
                <c:formatCode>0.000</c:formatCode>
                <c:ptCount val="62"/>
                <c:pt idx="0">
                  <c:v>6.5278628564545009</c:v>
                </c:pt>
                <c:pt idx="1">
                  <c:v>6.5278628564545009</c:v>
                </c:pt>
                <c:pt idx="2">
                  <c:v>6.5278628564545009</c:v>
                </c:pt>
                <c:pt idx="3">
                  <c:v>6.5278628564545009</c:v>
                </c:pt>
                <c:pt idx="4">
                  <c:v>6.5278628564545009</c:v>
                </c:pt>
                <c:pt idx="5">
                  <c:v>6.5278628564545009</c:v>
                </c:pt>
                <c:pt idx="6">
                  <c:v>6.5278628564545009</c:v>
                </c:pt>
                <c:pt idx="7">
                  <c:v>6.5278628564545009</c:v>
                </c:pt>
                <c:pt idx="8">
                  <c:v>6.5278628564545009</c:v>
                </c:pt>
                <c:pt idx="9">
                  <c:v>6.5278628564545009</c:v>
                </c:pt>
                <c:pt idx="10">
                  <c:v>6.5278628564545009</c:v>
                </c:pt>
                <c:pt idx="11">
                  <c:v>6.5278628564545009</c:v>
                </c:pt>
                <c:pt idx="12">
                  <c:v>6.5278628564545009</c:v>
                </c:pt>
                <c:pt idx="13">
                  <c:v>6.5278628564545009</c:v>
                </c:pt>
                <c:pt idx="14">
                  <c:v>6.5278628564545009</c:v>
                </c:pt>
                <c:pt idx="15">
                  <c:v>6.5278628564545009</c:v>
                </c:pt>
                <c:pt idx="16">
                  <c:v>6.5278628564545009</c:v>
                </c:pt>
                <c:pt idx="17">
                  <c:v>6.5278628564545009</c:v>
                </c:pt>
                <c:pt idx="18">
                  <c:v>6.5278628564545009</c:v>
                </c:pt>
                <c:pt idx="19">
                  <c:v>6.5278628564545009</c:v>
                </c:pt>
                <c:pt idx="20">
                  <c:v>6.5278628564545009</c:v>
                </c:pt>
                <c:pt idx="21">
                  <c:v>6.5278628564545009</c:v>
                </c:pt>
                <c:pt idx="22">
                  <c:v>6.5278628564545009</c:v>
                </c:pt>
                <c:pt idx="23">
                  <c:v>6.5278628564545009</c:v>
                </c:pt>
                <c:pt idx="24">
                  <c:v>6.5278628564545009</c:v>
                </c:pt>
                <c:pt idx="25">
                  <c:v>6.5278628564545009</c:v>
                </c:pt>
                <c:pt idx="26">
                  <c:v>6.5278628564545009</c:v>
                </c:pt>
                <c:pt idx="27">
                  <c:v>6.5278628564545009</c:v>
                </c:pt>
                <c:pt idx="28">
                  <c:v>6.5278628564545009</c:v>
                </c:pt>
                <c:pt idx="29">
                  <c:v>6.5278628564545009</c:v>
                </c:pt>
                <c:pt idx="30">
                  <c:v>6.5278628564545009</c:v>
                </c:pt>
                <c:pt idx="31">
                  <c:v>6.5278628564545009</c:v>
                </c:pt>
                <c:pt idx="32">
                  <c:v>6.5278628564545009</c:v>
                </c:pt>
                <c:pt idx="33">
                  <c:v>6.5278628564545009</c:v>
                </c:pt>
                <c:pt idx="34">
                  <c:v>6.5278628564545009</c:v>
                </c:pt>
                <c:pt idx="35">
                  <c:v>6.5278628564545009</c:v>
                </c:pt>
                <c:pt idx="36">
                  <c:v>6.5278628564545009</c:v>
                </c:pt>
                <c:pt idx="37">
                  <c:v>6.5278628564545009</c:v>
                </c:pt>
                <c:pt idx="38">
                  <c:v>6.5278628564545009</c:v>
                </c:pt>
                <c:pt idx="39">
                  <c:v>6.5278628564545009</c:v>
                </c:pt>
                <c:pt idx="40">
                  <c:v>6.5278628564545009</c:v>
                </c:pt>
                <c:pt idx="41">
                  <c:v>6.5278628564545009</c:v>
                </c:pt>
                <c:pt idx="42">
                  <c:v>6.5278628564545009</c:v>
                </c:pt>
                <c:pt idx="43">
                  <c:v>6.5278628564545009</c:v>
                </c:pt>
                <c:pt idx="44">
                  <c:v>6.5278628564545009</c:v>
                </c:pt>
                <c:pt idx="45">
                  <c:v>6.5278628564545009</c:v>
                </c:pt>
                <c:pt idx="46">
                  <c:v>6.5278628564545009</c:v>
                </c:pt>
                <c:pt idx="47">
                  <c:v>6.5278628564545009</c:v>
                </c:pt>
                <c:pt idx="48">
                  <c:v>6.5278628564545009</c:v>
                </c:pt>
                <c:pt idx="49">
                  <c:v>6.5278628564545009</c:v>
                </c:pt>
                <c:pt idx="50">
                  <c:v>6.5278628564545009</c:v>
                </c:pt>
                <c:pt idx="51">
                  <c:v>6.5278628564545009</c:v>
                </c:pt>
                <c:pt idx="52">
                  <c:v>6.5278628564545009</c:v>
                </c:pt>
                <c:pt idx="53">
                  <c:v>6.5278628564545009</c:v>
                </c:pt>
                <c:pt idx="54">
                  <c:v>6.5278628564545009</c:v>
                </c:pt>
                <c:pt idx="55">
                  <c:v>6.5278628564545009</c:v>
                </c:pt>
                <c:pt idx="56">
                  <c:v>6.5278628564545009</c:v>
                </c:pt>
                <c:pt idx="57">
                  <c:v>6.5278628564545009</c:v>
                </c:pt>
                <c:pt idx="58">
                  <c:v>6.5278628564545009</c:v>
                </c:pt>
                <c:pt idx="59">
                  <c:v>6.5278628564545009</c:v>
                </c:pt>
                <c:pt idx="60">
                  <c:v>6.5278628564545009</c:v>
                </c:pt>
                <c:pt idx="61">
                  <c:v>6.5278628564545009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D3-4F99-A79E-99EA6967332B}"/>
            </c:ext>
          </c:extLst>
        </c:ser>
        <c:ser>
          <c:idx val="3"/>
          <c:order val="2"/>
          <c:tx>
            <c:strRef>
              <c:f>'Carta 0'!$W$6</c:f>
              <c:strCache>
                <c:ptCount val="1"/>
                <c:pt idx="0">
                  <c:v>L.A.I.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0'!$R$7:$R$68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0'!$W$7:$W$68</c:f>
              <c:numCache>
                <c:formatCode>0.000</c:formatCode>
                <c:ptCount val="62"/>
                <c:pt idx="0">
                  <c:v>6.2650771435455024</c:v>
                </c:pt>
                <c:pt idx="1">
                  <c:v>6.2650771435455024</c:v>
                </c:pt>
                <c:pt idx="2">
                  <c:v>6.2650771435455024</c:v>
                </c:pt>
                <c:pt idx="3">
                  <c:v>6.2650771435455024</c:v>
                </c:pt>
                <c:pt idx="4">
                  <c:v>6.2650771435455024</c:v>
                </c:pt>
                <c:pt idx="5">
                  <c:v>6.2650771435455024</c:v>
                </c:pt>
                <c:pt idx="6">
                  <c:v>6.2650771435455024</c:v>
                </c:pt>
                <c:pt idx="7">
                  <c:v>6.2650771435455024</c:v>
                </c:pt>
                <c:pt idx="8">
                  <c:v>6.2650771435455024</c:v>
                </c:pt>
                <c:pt idx="9">
                  <c:v>6.2650771435455024</c:v>
                </c:pt>
                <c:pt idx="10">
                  <c:v>6.2650771435455024</c:v>
                </c:pt>
                <c:pt idx="11">
                  <c:v>6.2650771435455024</c:v>
                </c:pt>
                <c:pt idx="12">
                  <c:v>6.2650771435455024</c:v>
                </c:pt>
                <c:pt idx="13">
                  <c:v>6.2650771435455024</c:v>
                </c:pt>
                <c:pt idx="14">
                  <c:v>6.2650771435455024</c:v>
                </c:pt>
                <c:pt idx="15">
                  <c:v>6.2650771435455024</c:v>
                </c:pt>
                <c:pt idx="16">
                  <c:v>6.2650771435455024</c:v>
                </c:pt>
                <c:pt idx="17">
                  <c:v>6.2650771435455024</c:v>
                </c:pt>
                <c:pt idx="18">
                  <c:v>6.2650771435455024</c:v>
                </c:pt>
                <c:pt idx="19">
                  <c:v>6.2650771435455024</c:v>
                </c:pt>
                <c:pt idx="20">
                  <c:v>6.2650771435455024</c:v>
                </c:pt>
                <c:pt idx="21">
                  <c:v>6.2650771435455024</c:v>
                </c:pt>
                <c:pt idx="22">
                  <c:v>6.2650771435455024</c:v>
                </c:pt>
                <c:pt idx="23">
                  <c:v>6.2650771435455024</c:v>
                </c:pt>
                <c:pt idx="24">
                  <c:v>6.2650771435455024</c:v>
                </c:pt>
                <c:pt idx="25">
                  <c:v>6.2650771435455024</c:v>
                </c:pt>
                <c:pt idx="26">
                  <c:v>6.2650771435455024</c:v>
                </c:pt>
                <c:pt idx="27">
                  <c:v>6.2650771435455024</c:v>
                </c:pt>
                <c:pt idx="28">
                  <c:v>6.2650771435455024</c:v>
                </c:pt>
                <c:pt idx="29">
                  <c:v>6.2650771435455024</c:v>
                </c:pt>
                <c:pt idx="30">
                  <c:v>6.2650771435455024</c:v>
                </c:pt>
                <c:pt idx="31">
                  <c:v>6.2650771435455024</c:v>
                </c:pt>
                <c:pt idx="32">
                  <c:v>6.2650771435455024</c:v>
                </c:pt>
                <c:pt idx="33">
                  <c:v>6.2650771435455024</c:v>
                </c:pt>
                <c:pt idx="34">
                  <c:v>6.2650771435455024</c:v>
                </c:pt>
                <c:pt idx="35">
                  <c:v>6.2650771435455024</c:v>
                </c:pt>
                <c:pt idx="36">
                  <c:v>6.2650771435455024</c:v>
                </c:pt>
                <c:pt idx="37">
                  <c:v>6.2650771435455024</c:v>
                </c:pt>
                <c:pt idx="38">
                  <c:v>6.2650771435455024</c:v>
                </c:pt>
                <c:pt idx="39">
                  <c:v>6.2650771435455024</c:v>
                </c:pt>
                <c:pt idx="40">
                  <c:v>6.2650771435455024</c:v>
                </c:pt>
                <c:pt idx="41">
                  <c:v>6.2650771435455024</c:v>
                </c:pt>
                <c:pt idx="42">
                  <c:v>6.2650771435455024</c:v>
                </c:pt>
                <c:pt idx="43">
                  <c:v>6.2650771435455024</c:v>
                </c:pt>
                <c:pt idx="44">
                  <c:v>6.2650771435455024</c:v>
                </c:pt>
                <c:pt idx="45">
                  <c:v>6.2650771435455024</c:v>
                </c:pt>
                <c:pt idx="46">
                  <c:v>6.2650771435455024</c:v>
                </c:pt>
                <c:pt idx="47">
                  <c:v>6.2650771435455024</c:v>
                </c:pt>
                <c:pt idx="48">
                  <c:v>6.2650771435455024</c:v>
                </c:pt>
                <c:pt idx="49">
                  <c:v>6.2650771435455024</c:v>
                </c:pt>
                <c:pt idx="50">
                  <c:v>6.2650771435455024</c:v>
                </c:pt>
                <c:pt idx="51">
                  <c:v>6.2650771435455024</c:v>
                </c:pt>
                <c:pt idx="52">
                  <c:v>6.2650771435455024</c:v>
                </c:pt>
                <c:pt idx="53">
                  <c:v>6.2650771435455024</c:v>
                </c:pt>
                <c:pt idx="54">
                  <c:v>6.2650771435455024</c:v>
                </c:pt>
                <c:pt idx="55">
                  <c:v>6.2650771435455024</c:v>
                </c:pt>
                <c:pt idx="56">
                  <c:v>6.2650771435455024</c:v>
                </c:pt>
                <c:pt idx="57">
                  <c:v>6.2650771435455024</c:v>
                </c:pt>
                <c:pt idx="58">
                  <c:v>6.2650771435455024</c:v>
                </c:pt>
                <c:pt idx="59">
                  <c:v>6.2650771435455024</c:v>
                </c:pt>
                <c:pt idx="60">
                  <c:v>6.2650771435455024</c:v>
                </c:pt>
                <c:pt idx="61">
                  <c:v>6.2650771435455024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D3-4F99-A79E-99EA6967332B}"/>
            </c:ext>
          </c:extLst>
        </c:ser>
        <c:ser>
          <c:idx val="4"/>
          <c:order val="3"/>
          <c:tx>
            <c:strRef>
              <c:f>'Carta 0'!$X$6</c:f>
              <c:strCache>
                <c:ptCount val="1"/>
                <c:pt idx="0">
                  <c:v>L.D.S.</c:v>
                </c:pt>
              </c:strCache>
            </c:strRef>
          </c:tx>
          <c:spPr>
            <a:ln w="19050" cap="rnd">
              <a:solidFill>
                <a:srgbClr val="FFFF00">
                  <a:alpha val="8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0'!$R$7:$R$68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0'!$X$7:$X$68</c:f>
              <c:numCache>
                <c:formatCode>0.000</c:formatCode>
                <c:ptCount val="62"/>
                <c:pt idx="0">
                  <c:v>6.4840652376363348</c:v>
                </c:pt>
                <c:pt idx="1">
                  <c:v>6.4840652376363348</c:v>
                </c:pt>
                <c:pt idx="2">
                  <c:v>6.4840652376363348</c:v>
                </c:pt>
                <c:pt idx="3">
                  <c:v>6.4840652376363348</c:v>
                </c:pt>
                <c:pt idx="4">
                  <c:v>6.4840652376363348</c:v>
                </c:pt>
                <c:pt idx="5">
                  <c:v>6.4840652376363348</c:v>
                </c:pt>
                <c:pt idx="6">
                  <c:v>6.4840652376363348</c:v>
                </c:pt>
                <c:pt idx="7">
                  <c:v>6.4840652376363348</c:v>
                </c:pt>
                <c:pt idx="8">
                  <c:v>6.4840652376363348</c:v>
                </c:pt>
                <c:pt idx="9">
                  <c:v>6.4840652376363348</c:v>
                </c:pt>
                <c:pt idx="10">
                  <c:v>6.4840652376363348</c:v>
                </c:pt>
                <c:pt idx="11">
                  <c:v>6.4840652376363348</c:v>
                </c:pt>
                <c:pt idx="12">
                  <c:v>6.4840652376363348</c:v>
                </c:pt>
                <c:pt idx="13">
                  <c:v>6.4840652376363348</c:v>
                </c:pt>
                <c:pt idx="14">
                  <c:v>6.4840652376363348</c:v>
                </c:pt>
                <c:pt idx="15">
                  <c:v>6.4840652376363348</c:v>
                </c:pt>
                <c:pt idx="16">
                  <c:v>6.4840652376363348</c:v>
                </c:pt>
                <c:pt idx="17">
                  <c:v>6.4840652376363348</c:v>
                </c:pt>
                <c:pt idx="18">
                  <c:v>6.4840652376363348</c:v>
                </c:pt>
                <c:pt idx="19">
                  <c:v>6.4840652376363348</c:v>
                </c:pt>
                <c:pt idx="20">
                  <c:v>6.4840652376363348</c:v>
                </c:pt>
                <c:pt idx="21">
                  <c:v>6.4840652376363348</c:v>
                </c:pt>
                <c:pt idx="22">
                  <c:v>6.4840652376363348</c:v>
                </c:pt>
                <c:pt idx="23">
                  <c:v>6.4840652376363348</c:v>
                </c:pt>
                <c:pt idx="24">
                  <c:v>6.4840652376363348</c:v>
                </c:pt>
                <c:pt idx="25">
                  <c:v>6.4840652376363348</c:v>
                </c:pt>
                <c:pt idx="26">
                  <c:v>6.4840652376363348</c:v>
                </c:pt>
                <c:pt idx="27">
                  <c:v>6.4840652376363348</c:v>
                </c:pt>
                <c:pt idx="28">
                  <c:v>6.4840652376363348</c:v>
                </c:pt>
                <c:pt idx="29">
                  <c:v>6.4840652376363348</c:v>
                </c:pt>
                <c:pt idx="30">
                  <c:v>6.4840652376363348</c:v>
                </c:pt>
                <c:pt idx="31">
                  <c:v>6.4840652376363348</c:v>
                </c:pt>
                <c:pt idx="32">
                  <c:v>6.4840652376363348</c:v>
                </c:pt>
                <c:pt idx="33">
                  <c:v>6.4840652376363348</c:v>
                </c:pt>
                <c:pt idx="34">
                  <c:v>6.4840652376363348</c:v>
                </c:pt>
                <c:pt idx="35">
                  <c:v>6.4840652376363348</c:v>
                </c:pt>
                <c:pt idx="36">
                  <c:v>6.4840652376363348</c:v>
                </c:pt>
                <c:pt idx="37">
                  <c:v>6.4840652376363348</c:v>
                </c:pt>
                <c:pt idx="38">
                  <c:v>6.4840652376363348</c:v>
                </c:pt>
                <c:pt idx="39">
                  <c:v>6.4840652376363348</c:v>
                </c:pt>
                <c:pt idx="40">
                  <c:v>6.4840652376363348</c:v>
                </c:pt>
                <c:pt idx="41">
                  <c:v>6.4840652376363348</c:v>
                </c:pt>
                <c:pt idx="42">
                  <c:v>6.4840652376363348</c:v>
                </c:pt>
                <c:pt idx="43">
                  <c:v>6.4840652376363348</c:v>
                </c:pt>
                <c:pt idx="44">
                  <c:v>6.4840652376363348</c:v>
                </c:pt>
                <c:pt idx="45">
                  <c:v>6.4840652376363348</c:v>
                </c:pt>
                <c:pt idx="46">
                  <c:v>6.4840652376363348</c:v>
                </c:pt>
                <c:pt idx="47">
                  <c:v>6.4840652376363348</c:v>
                </c:pt>
                <c:pt idx="48">
                  <c:v>6.4840652376363348</c:v>
                </c:pt>
                <c:pt idx="49">
                  <c:v>6.4840652376363348</c:v>
                </c:pt>
                <c:pt idx="50">
                  <c:v>6.4840652376363348</c:v>
                </c:pt>
                <c:pt idx="51">
                  <c:v>6.4840652376363348</c:v>
                </c:pt>
                <c:pt idx="52">
                  <c:v>6.4840652376363348</c:v>
                </c:pt>
                <c:pt idx="53">
                  <c:v>6.4840652376363348</c:v>
                </c:pt>
                <c:pt idx="54">
                  <c:v>6.4840652376363348</c:v>
                </c:pt>
                <c:pt idx="55">
                  <c:v>6.4840652376363348</c:v>
                </c:pt>
                <c:pt idx="56">
                  <c:v>6.4840652376363348</c:v>
                </c:pt>
                <c:pt idx="57">
                  <c:v>6.4840652376363348</c:v>
                </c:pt>
                <c:pt idx="58">
                  <c:v>6.4840652376363348</c:v>
                </c:pt>
                <c:pt idx="59">
                  <c:v>6.4840652376363348</c:v>
                </c:pt>
                <c:pt idx="60">
                  <c:v>6.4840652376363348</c:v>
                </c:pt>
                <c:pt idx="61">
                  <c:v>6.4840652376363348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D3-4F99-A79E-99EA6967332B}"/>
            </c:ext>
          </c:extLst>
        </c:ser>
        <c:ser>
          <c:idx val="5"/>
          <c:order val="4"/>
          <c:tx>
            <c:strRef>
              <c:f>'Carta 0'!$Y$6</c:f>
              <c:strCache>
                <c:ptCount val="1"/>
                <c:pt idx="0">
                  <c:v>L.D.I.</c:v>
                </c:pt>
              </c:strCache>
            </c:strRef>
          </c:tx>
          <c:spPr>
            <a:ln w="19050" cap="rnd">
              <a:solidFill>
                <a:srgbClr val="FFFF00">
                  <a:alpha val="8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0'!$R$7:$R$68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0'!$Y$7:$Y$68</c:f>
              <c:numCache>
                <c:formatCode>0.000</c:formatCode>
                <c:ptCount val="62"/>
                <c:pt idx="0">
                  <c:v>6.3088747623636685</c:v>
                </c:pt>
                <c:pt idx="1">
                  <c:v>6.3088747623636685</c:v>
                </c:pt>
                <c:pt idx="2">
                  <c:v>6.3088747623636685</c:v>
                </c:pt>
                <c:pt idx="3">
                  <c:v>6.3088747623636685</c:v>
                </c:pt>
                <c:pt idx="4">
                  <c:v>6.3088747623636685</c:v>
                </c:pt>
                <c:pt idx="5">
                  <c:v>6.3088747623636685</c:v>
                </c:pt>
                <c:pt idx="6">
                  <c:v>6.3088747623636685</c:v>
                </c:pt>
                <c:pt idx="7">
                  <c:v>6.3088747623636685</c:v>
                </c:pt>
                <c:pt idx="8">
                  <c:v>6.3088747623636685</c:v>
                </c:pt>
                <c:pt idx="9">
                  <c:v>6.3088747623636685</c:v>
                </c:pt>
                <c:pt idx="10">
                  <c:v>6.3088747623636685</c:v>
                </c:pt>
                <c:pt idx="11">
                  <c:v>6.3088747623636685</c:v>
                </c:pt>
                <c:pt idx="12">
                  <c:v>6.3088747623636685</c:v>
                </c:pt>
                <c:pt idx="13">
                  <c:v>6.3088747623636685</c:v>
                </c:pt>
                <c:pt idx="14">
                  <c:v>6.3088747623636685</c:v>
                </c:pt>
                <c:pt idx="15">
                  <c:v>6.3088747623636685</c:v>
                </c:pt>
                <c:pt idx="16">
                  <c:v>6.3088747623636685</c:v>
                </c:pt>
                <c:pt idx="17">
                  <c:v>6.3088747623636685</c:v>
                </c:pt>
                <c:pt idx="18">
                  <c:v>6.3088747623636685</c:v>
                </c:pt>
                <c:pt idx="19">
                  <c:v>6.3088747623636685</c:v>
                </c:pt>
                <c:pt idx="20">
                  <c:v>6.3088747623636685</c:v>
                </c:pt>
                <c:pt idx="21">
                  <c:v>6.3088747623636685</c:v>
                </c:pt>
                <c:pt idx="22">
                  <c:v>6.3088747623636685</c:v>
                </c:pt>
                <c:pt idx="23">
                  <c:v>6.3088747623636685</c:v>
                </c:pt>
                <c:pt idx="24">
                  <c:v>6.3088747623636685</c:v>
                </c:pt>
                <c:pt idx="25">
                  <c:v>6.3088747623636685</c:v>
                </c:pt>
                <c:pt idx="26">
                  <c:v>6.3088747623636685</c:v>
                </c:pt>
                <c:pt idx="27">
                  <c:v>6.3088747623636685</c:v>
                </c:pt>
                <c:pt idx="28">
                  <c:v>6.3088747623636685</c:v>
                </c:pt>
                <c:pt idx="29">
                  <c:v>6.3088747623636685</c:v>
                </c:pt>
                <c:pt idx="30">
                  <c:v>6.3088747623636685</c:v>
                </c:pt>
                <c:pt idx="31">
                  <c:v>6.3088747623636685</c:v>
                </c:pt>
                <c:pt idx="32">
                  <c:v>6.3088747623636685</c:v>
                </c:pt>
                <c:pt idx="33">
                  <c:v>6.3088747623636685</c:v>
                </c:pt>
                <c:pt idx="34">
                  <c:v>6.3088747623636685</c:v>
                </c:pt>
                <c:pt idx="35">
                  <c:v>6.3088747623636685</c:v>
                </c:pt>
                <c:pt idx="36">
                  <c:v>6.3088747623636685</c:v>
                </c:pt>
                <c:pt idx="37">
                  <c:v>6.3088747623636685</c:v>
                </c:pt>
                <c:pt idx="38">
                  <c:v>6.3088747623636685</c:v>
                </c:pt>
                <c:pt idx="39">
                  <c:v>6.3088747623636685</c:v>
                </c:pt>
                <c:pt idx="40">
                  <c:v>6.3088747623636685</c:v>
                </c:pt>
                <c:pt idx="41">
                  <c:v>6.3088747623636685</c:v>
                </c:pt>
                <c:pt idx="42">
                  <c:v>6.3088747623636685</c:v>
                </c:pt>
                <c:pt idx="43">
                  <c:v>6.3088747623636685</c:v>
                </c:pt>
                <c:pt idx="44">
                  <c:v>6.3088747623636685</c:v>
                </c:pt>
                <c:pt idx="45">
                  <c:v>6.3088747623636685</c:v>
                </c:pt>
                <c:pt idx="46">
                  <c:v>6.3088747623636685</c:v>
                </c:pt>
                <c:pt idx="47">
                  <c:v>6.3088747623636685</c:v>
                </c:pt>
                <c:pt idx="48">
                  <c:v>6.3088747623636685</c:v>
                </c:pt>
                <c:pt idx="49">
                  <c:v>6.3088747623636685</c:v>
                </c:pt>
                <c:pt idx="50">
                  <c:v>6.3088747623636685</c:v>
                </c:pt>
                <c:pt idx="51">
                  <c:v>6.3088747623636685</c:v>
                </c:pt>
                <c:pt idx="52">
                  <c:v>6.3088747623636685</c:v>
                </c:pt>
                <c:pt idx="53">
                  <c:v>6.3088747623636685</c:v>
                </c:pt>
                <c:pt idx="54">
                  <c:v>6.3088747623636685</c:v>
                </c:pt>
                <c:pt idx="55">
                  <c:v>6.3088747623636685</c:v>
                </c:pt>
                <c:pt idx="56">
                  <c:v>6.3088747623636685</c:v>
                </c:pt>
                <c:pt idx="57">
                  <c:v>6.3088747623636685</c:v>
                </c:pt>
                <c:pt idx="58">
                  <c:v>6.3088747623636685</c:v>
                </c:pt>
                <c:pt idx="59">
                  <c:v>6.3088747623636685</c:v>
                </c:pt>
                <c:pt idx="60">
                  <c:v>6.3088747623636685</c:v>
                </c:pt>
                <c:pt idx="61">
                  <c:v>6.3088747623636685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D3-4F99-A79E-99EA6967332B}"/>
            </c:ext>
          </c:extLst>
        </c:ser>
        <c:ser>
          <c:idx val="6"/>
          <c:order val="5"/>
          <c:tx>
            <c:strRef>
              <c:f>'Carta 0'!$Z$6</c:f>
              <c:strCache>
                <c:ptCount val="1"/>
                <c:pt idx="0">
                  <c:v>L.1S.S.</c:v>
                </c:pt>
              </c:strCache>
            </c:strRef>
          </c:tx>
          <c:spPr>
            <a:ln w="19050" cap="rnd">
              <a:solidFill>
                <a:srgbClr val="00B050">
                  <a:alpha val="6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0'!$R$7:$R$68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0'!$Z$7:$Z$68</c:f>
              <c:numCache>
                <c:formatCode>0.000</c:formatCode>
                <c:ptCount val="62"/>
                <c:pt idx="0">
                  <c:v>6.4402676188181678</c:v>
                </c:pt>
                <c:pt idx="1">
                  <c:v>6.4402676188181678</c:v>
                </c:pt>
                <c:pt idx="2">
                  <c:v>6.4402676188181678</c:v>
                </c:pt>
                <c:pt idx="3">
                  <c:v>6.4402676188181678</c:v>
                </c:pt>
                <c:pt idx="4">
                  <c:v>6.4402676188181678</c:v>
                </c:pt>
                <c:pt idx="5">
                  <c:v>6.4402676188181678</c:v>
                </c:pt>
                <c:pt idx="6">
                  <c:v>6.4402676188181678</c:v>
                </c:pt>
                <c:pt idx="7">
                  <c:v>6.4402676188181678</c:v>
                </c:pt>
                <c:pt idx="8">
                  <c:v>6.4402676188181678</c:v>
                </c:pt>
                <c:pt idx="9">
                  <c:v>6.4402676188181678</c:v>
                </c:pt>
                <c:pt idx="10">
                  <c:v>6.4402676188181678</c:v>
                </c:pt>
                <c:pt idx="11">
                  <c:v>6.4402676188181678</c:v>
                </c:pt>
                <c:pt idx="12">
                  <c:v>6.4402676188181678</c:v>
                </c:pt>
                <c:pt idx="13">
                  <c:v>6.4402676188181678</c:v>
                </c:pt>
                <c:pt idx="14">
                  <c:v>6.4402676188181678</c:v>
                </c:pt>
                <c:pt idx="15">
                  <c:v>6.4402676188181678</c:v>
                </c:pt>
                <c:pt idx="16">
                  <c:v>6.4402676188181678</c:v>
                </c:pt>
                <c:pt idx="17">
                  <c:v>6.4402676188181678</c:v>
                </c:pt>
                <c:pt idx="18">
                  <c:v>6.4402676188181678</c:v>
                </c:pt>
                <c:pt idx="19">
                  <c:v>6.4402676188181678</c:v>
                </c:pt>
                <c:pt idx="20">
                  <c:v>6.4402676188181678</c:v>
                </c:pt>
                <c:pt idx="21">
                  <c:v>6.4402676188181678</c:v>
                </c:pt>
                <c:pt idx="22">
                  <c:v>6.4402676188181678</c:v>
                </c:pt>
                <c:pt idx="23">
                  <c:v>6.4402676188181678</c:v>
                </c:pt>
                <c:pt idx="24">
                  <c:v>6.4402676188181678</c:v>
                </c:pt>
                <c:pt idx="25">
                  <c:v>6.4402676188181678</c:v>
                </c:pt>
                <c:pt idx="26">
                  <c:v>6.4402676188181678</c:v>
                </c:pt>
                <c:pt idx="27">
                  <c:v>6.4402676188181678</c:v>
                </c:pt>
                <c:pt idx="28">
                  <c:v>6.4402676188181678</c:v>
                </c:pt>
                <c:pt idx="29">
                  <c:v>6.4402676188181678</c:v>
                </c:pt>
                <c:pt idx="30">
                  <c:v>6.4402676188181678</c:v>
                </c:pt>
                <c:pt idx="31">
                  <c:v>6.4402676188181678</c:v>
                </c:pt>
                <c:pt idx="32">
                  <c:v>6.4402676188181678</c:v>
                </c:pt>
                <c:pt idx="33">
                  <c:v>6.4402676188181678</c:v>
                </c:pt>
                <c:pt idx="34">
                  <c:v>6.4402676188181678</c:v>
                </c:pt>
                <c:pt idx="35">
                  <c:v>6.4402676188181678</c:v>
                </c:pt>
                <c:pt idx="36">
                  <c:v>6.4402676188181678</c:v>
                </c:pt>
                <c:pt idx="37">
                  <c:v>6.4402676188181678</c:v>
                </c:pt>
                <c:pt idx="38">
                  <c:v>6.4402676188181678</c:v>
                </c:pt>
                <c:pt idx="39">
                  <c:v>6.4402676188181678</c:v>
                </c:pt>
                <c:pt idx="40">
                  <c:v>6.4402676188181678</c:v>
                </c:pt>
                <c:pt idx="41">
                  <c:v>6.4402676188181678</c:v>
                </c:pt>
                <c:pt idx="42">
                  <c:v>6.4402676188181678</c:v>
                </c:pt>
                <c:pt idx="43">
                  <c:v>6.4402676188181678</c:v>
                </c:pt>
                <c:pt idx="44">
                  <c:v>6.4402676188181678</c:v>
                </c:pt>
                <c:pt idx="45">
                  <c:v>6.4402676188181678</c:v>
                </c:pt>
                <c:pt idx="46">
                  <c:v>6.4402676188181678</c:v>
                </c:pt>
                <c:pt idx="47">
                  <c:v>6.4402676188181678</c:v>
                </c:pt>
                <c:pt idx="48">
                  <c:v>6.4402676188181678</c:v>
                </c:pt>
                <c:pt idx="49">
                  <c:v>6.4402676188181678</c:v>
                </c:pt>
                <c:pt idx="50">
                  <c:v>6.4402676188181678</c:v>
                </c:pt>
                <c:pt idx="51">
                  <c:v>6.4402676188181678</c:v>
                </c:pt>
                <c:pt idx="52">
                  <c:v>6.4402676188181678</c:v>
                </c:pt>
                <c:pt idx="53">
                  <c:v>6.4402676188181678</c:v>
                </c:pt>
                <c:pt idx="54">
                  <c:v>6.4402676188181678</c:v>
                </c:pt>
                <c:pt idx="55">
                  <c:v>6.4402676188181678</c:v>
                </c:pt>
                <c:pt idx="56">
                  <c:v>6.4402676188181678</c:v>
                </c:pt>
                <c:pt idx="57">
                  <c:v>6.4402676188181678</c:v>
                </c:pt>
                <c:pt idx="58">
                  <c:v>6.4402676188181678</c:v>
                </c:pt>
                <c:pt idx="59">
                  <c:v>6.4402676188181678</c:v>
                </c:pt>
                <c:pt idx="60">
                  <c:v>6.4402676188181678</c:v>
                </c:pt>
                <c:pt idx="61">
                  <c:v>6.4402676188181678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1D3-4F99-A79E-99EA6967332B}"/>
            </c:ext>
          </c:extLst>
        </c:ser>
        <c:ser>
          <c:idx val="7"/>
          <c:order val="6"/>
          <c:tx>
            <c:strRef>
              <c:f>'Carta 0'!$AA$6</c:f>
              <c:strCache>
                <c:ptCount val="1"/>
                <c:pt idx="0">
                  <c:v>L.1S.I.</c:v>
                </c:pt>
              </c:strCache>
            </c:strRef>
          </c:tx>
          <c:spPr>
            <a:ln w="19050" cap="rnd">
              <a:solidFill>
                <a:srgbClr val="00B050">
                  <a:alpha val="6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0'!$R$7:$R$68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0'!$AA$7:$AA$68</c:f>
              <c:numCache>
                <c:formatCode>0.000</c:formatCode>
                <c:ptCount val="62"/>
                <c:pt idx="0">
                  <c:v>6.3526723811818355</c:v>
                </c:pt>
                <c:pt idx="1">
                  <c:v>6.3526723811818355</c:v>
                </c:pt>
                <c:pt idx="2">
                  <c:v>6.3526723811818355</c:v>
                </c:pt>
                <c:pt idx="3">
                  <c:v>6.3526723811818355</c:v>
                </c:pt>
                <c:pt idx="4">
                  <c:v>6.3526723811818355</c:v>
                </c:pt>
                <c:pt idx="5">
                  <c:v>6.3526723811818355</c:v>
                </c:pt>
                <c:pt idx="6">
                  <c:v>6.3526723811818355</c:v>
                </c:pt>
                <c:pt idx="7">
                  <c:v>6.3526723811818355</c:v>
                </c:pt>
                <c:pt idx="8">
                  <c:v>6.3526723811818355</c:v>
                </c:pt>
                <c:pt idx="9">
                  <c:v>6.3526723811818355</c:v>
                </c:pt>
                <c:pt idx="10">
                  <c:v>6.3526723811818355</c:v>
                </c:pt>
                <c:pt idx="11">
                  <c:v>6.3526723811818355</c:v>
                </c:pt>
                <c:pt idx="12">
                  <c:v>6.3526723811818355</c:v>
                </c:pt>
                <c:pt idx="13">
                  <c:v>6.3526723811818355</c:v>
                </c:pt>
                <c:pt idx="14">
                  <c:v>6.3526723811818355</c:v>
                </c:pt>
                <c:pt idx="15">
                  <c:v>6.3526723811818355</c:v>
                </c:pt>
                <c:pt idx="16">
                  <c:v>6.3526723811818355</c:v>
                </c:pt>
                <c:pt idx="17">
                  <c:v>6.3526723811818355</c:v>
                </c:pt>
                <c:pt idx="18">
                  <c:v>6.3526723811818355</c:v>
                </c:pt>
                <c:pt idx="19">
                  <c:v>6.3526723811818355</c:v>
                </c:pt>
                <c:pt idx="20">
                  <c:v>6.3526723811818355</c:v>
                </c:pt>
                <c:pt idx="21">
                  <c:v>6.3526723811818355</c:v>
                </c:pt>
                <c:pt idx="22">
                  <c:v>6.3526723811818355</c:v>
                </c:pt>
                <c:pt idx="23">
                  <c:v>6.3526723811818355</c:v>
                </c:pt>
                <c:pt idx="24">
                  <c:v>6.3526723811818355</c:v>
                </c:pt>
                <c:pt idx="25">
                  <c:v>6.3526723811818355</c:v>
                </c:pt>
                <c:pt idx="26">
                  <c:v>6.3526723811818355</c:v>
                </c:pt>
                <c:pt idx="27">
                  <c:v>6.3526723811818355</c:v>
                </c:pt>
                <c:pt idx="28">
                  <c:v>6.3526723811818355</c:v>
                </c:pt>
                <c:pt idx="29">
                  <c:v>6.3526723811818355</c:v>
                </c:pt>
                <c:pt idx="30">
                  <c:v>6.3526723811818355</c:v>
                </c:pt>
                <c:pt idx="31">
                  <c:v>6.3526723811818355</c:v>
                </c:pt>
                <c:pt idx="32">
                  <c:v>6.3526723811818355</c:v>
                </c:pt>
                <c:pt idx="33">
                  <c:v>6.3526723811818355</c:v>
                </c:pt>
                <c:pt idx="34">
                  <c:v>6.3526723811818355</c:v>
                </c:pt>
                <c:pt idx="35">
                  <c:v>6.3526723811818355</c:v>
                </c:pt>
                <c:pt idx="36">
                  <c:v>6.3526723811818355</c:v>
                </c:pt>
                <c:pt idx="37">
                  <c:v>6.3526723811818355</c:v>
                </c:pt>
                <c:pt idx="38">
                  <c:v>6.3526723811818355</c:v>
                </c:pt>
                <c:pt idx="39">
                  <c:v>6.3526723811818355</c:v>
                </c:pt>
                <c:pt idx="40">
                  <c:v>6.3526723811818355</c:v>
                </c:pt>
                <c:pt idx="41">
                  <c:v>6.3526723811818355</c:v>
                </c:pt>
                <c:pt idx="42">
                  <c:v>6.3526723811818355</c:v>
                </c:pt>
                <c:pt idx="43">
                  <c:v>6.3526723811818355</c:v>
                </c:pt>
                <c:pt idx="44">
                  <c:v>6.3526723811818355</c:v>
                </c:pt>
                <c:pt idx="45">
                  <c:v>6.3526723811818355</c:v>
                </c:pt>
                <c:pt idx="46">
                  <c:v>6.3526723811818355</c:v>
                </c:pt>
                <c:pt idx="47">
                  <c:v>6.3526723811818355</c:v>
                </c:pt>
                <c:pt idx="48">
                  <c:v>6.3526723811818355</c:v>
                </c:pt>
                <c:pt idx="49">
                  <c:v>6.3526723811818355</c:v>
                </c:pt>
                <c:pt idx="50">
                  <c:v>6.3526723811818355</c:v>
                </c:pt>
                <c:pt idx="51">
                  <c:v>6.3526723811818355</c:v>
                </c:pt>
                <c:pt idx="52">
                  <c:v>6.3526723811818355</c:v>
                </c:pt>
                <c:pt idx="53">
                  <c:v>6.3526723811818355</c:v>
                </c:pt>
                <c:pt idx="54">
                  <c:v>6.3526723811818355</c:v>
                </c:pt>
                <c:pt idx="55">
                  <c:v>6.3526723811818355</c:v>
                </c:pt>
                <c:pt idx="56">
                  <c:v>6.3526723811818355</c:v>
                </c:pt>
                <c:pt idx="57">
                  <c:v>6.3526723811818355</c:v>
                </c:pt>
                <c:pt idx="58">
                  <c:v>6.3526723811818355</c:v>
                </c:pt>
                <c:pt idx="59">
                  <c:v>6.3526723811818355</c:v>
                </c:pt>
                <c:pt idx="60">
                  <c:v>6.3526723811818355</c:v>
                </c:pt>
                <c:pt idx="61">
                  <c:v>6.3526723811818355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1D3-4F99-A79E-99EA6967332B}"/>
            </c:ext>
          </c:extLst>
        </c:ser>
        <c:ser>
          <c:idx val="0"/>
          <c:order val="7"/>
          <c:tx>
            <c:strRef>
              <c:f>Datos!$C$1</c:f>
              <c:strCache>
                <c:ptCount val="1"/>
                <c:pt idx="0">
                  <c:v>CAPILAR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>
              <a:outerShdw blurRad="50800" dist="38100" dir="5400000" algn="t" rotWithShape="0">
                <a:prstClr val="black">
                  <a:alpha val="30000"/>
                </a:prstClr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>
                <a:outerShdw blurRad="50800" dist="38100" dir="5400000" algn="t" rotWithShape="0">
                  <a:prstClr val="black">
                    <a:alpha val="30000"/>
                  </a:prstClr>
                </a:outerShdw>
              </a:effectLst>
            </c:spPr>
          </c:marker>
          <c:xVal>
            <c:numRef>
              <c:f>Datos!$A$2:$A$61</c:f>
              <c:numCache>
                <c:formatCode>General</c:formatCode>
                <c:ptCount val="60"/>
              </c:numCache>
            </c:numRef>
          </c:xVal>
          <c:yVal>
            <c:numRef>
              <c:f>Datos!$C$2:$C$61</c:f>
              <c:numCache>
                <c:formatCode>0.00</c:formatCode>
                <c:ptCount val="6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1D3-4F99-A79E-99EA69673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522431"/>
        <c:axId val="1059523871"/>
      </c:scatterChart>
      <c:valAx>
        <c:axId val="1059522431"/>
        <c:scaling>
          <c:orientation val="minMax"/>
          <c:max val="6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3871"/>
        <c:crosses val="autoZero"/>
        <c:crossBetween val="midCat"/>
        <c:majorUnit val="5"/>
        <c:minorUnit val="5"/>
      </c:valAx>
      <c:valAx>
        <c:axId val="105952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2431"/>
        <c:crossesAt val="0"/>
        <c:crossBetween val="midCat"/>
      </c:valAx>
      <c:spPr>
        <a:solidFill>
          <a:schemeClr val="bg1">
            <a:lumMod val="85000"/>
          </a:schemeClr>
        </a:solidFill>
        <a:ln>
          <a:noFill/>
        </a:ln>
        <a:effectLst>
          <a:glow rad="101600">
            <a:schemeClr val="accent1">
              <a:satMod val="175000"/>
              <a:alpha val="1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50800" h="50800"/>
          <a:bevelB w="50800" h="50800"/>
        </a:sp3d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 2 -Rangos dinamicos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188117476538666"/>
          <c:y val="0.11890611791883643"/>
          <c:w val="0.87118991454792849"/>
          <c:h val="0.7615125410560685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'Carta 0'!$AC$6</c:f>
              <c:strCache>
                <c:ptCount val="1"/>
                <c:pt idx="0">
                  <c:v>Promedio</c:v>
                </c:pt>
              </c:strCache>
            </c:strRef>
          </c:tx>
          <c:spPr>
            <a:ln w="222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'Carta 0'!$R$7:$R$68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0'!$AC$7:$AC$68</c:f>
              <c:numCache>
                <c:formatCode>0.00</c:formatCode>
                <c:ptCount val="62"/>
                <c:pt idx="0">
                  <c:v>4.2444444444444479E-2</c:v>
                </c:pt>
                <c:pt idx="1">
                  <c:v>4.2444444444444479E-2</c:v>
                </c:pt>
                <c:pt idx="2">
                  <c:v>4.2444444444444479E-2</c:v>
                </c:pt>
                <c:pt idx="3">
                  <c:v>4.2444444444444479E-2</c:v>
                </c:pt>
                <c:pt idx="4">
                  <c:v>4.2444444444444479E-2</c:v>
                </c:pt>
                <c:pt idx="5">
                  <c:v>4.2444444444444479E-2</c:v>
                </c:pt>
                <c:pt idx="6">
                  <c:v>4.2444444444444479E-2</c:v>
                </c:pt>
                <c:pt idx="7">
                  <c:v>4.2444444444444479E-2</c:v>
                </c:pt>
                <c:pt idx="8">
                  <c:v>4.2444444444444479E-2</c:v>
                </c:pt>
                <c:pt idx="9">
                  <c:v>4.2444444444444479E-2</c:v>
                </c:pt>
                <c:pt idx="10">
                  <c:v>4.2444444444444479E-2</c:v>
                </c:pt>
                <c:pt idx="11">
                  <c:v>4.2444444444444479E-2</c:v>
                </c:pt>
                <c:pt idx="12">
                  <c:v>4.2444444444444479E-2</c:v>
                </c:pt>
                <c:pt idx="13">
                  <c:v>4.2444444444444479E-2</c:v>
                </c:pt>
                <c:pt idx="14">
                  <c:v>4.2444444444444479E-2</c:v>
                </c:pt>
                <c:pt idx="15">
                  <c:v>4.2444444444444479E-2</c:v>
                </c:pt>
                <c:pt idx="16">
                  <c:v>4.2444444444444479E-2</c:v>
                </c:pt>
                <c:pt idx="17">
                  <c:v>4.2444444444444479E-2</c:v>
                </c:pt>
                <c:pt idx="18">
                  <c:v>4.2444444444444479E-2</c:v>
                </c:pt>
                <c:pt idx="19">
                  <c:v>4.2444444444444479E-2</c:v>
                </c:pt>
                <c:pt idx="20">
                  <c:v>4.2444444444444479E-2</c:v>
                </c:pt>
                <c:pt idx="21">
                  <c:v>4.2444444444444479E-2</c:v>
                </c:pt>
                <c:pt idx="22">
                  <c:v>4.2444444444444479E-2</c:v>
                </c:pt>
                <c:pt idx="23">
                  <c:v>4.2444444444444479E-2</c:v>
                </c:pt>
                <c:pt idx="24">
                  <c:v>4.2444444444444479E-2</c:v>
                </c:pt>
                <c:pt idx="25">
                  <c:v>4.2444444444444479E-2</c:v>
                </c:pt>
                <c:pt idx="26">
                  <c:v>4.2444444444444479E-2</c:v>
                </c:pt>
                <c:pt idx="27">
                  <c:v>4.2444444444444479E-2</c:v>
                </c:pt>
                <c:pt idx="28">
                  <c:v>4.2444444444444479E-2</c:v>
                </c:pt>
                <c:pt idx="29">
                  <c:v>4.2444444444444479E-2</c:v>
                </c:pt>
                <c:pt idx="30">
                  <c:v>4.2444444444444479E-2</c:v>
                </c:pt>
                <c:pt idx="31">
                  <c:v>4.2444444444444479E-2</c:v>
                </c:pt>
                <c:pt idx="32">
                  <c:v>4.2444444444444479E-2</c:v>
                </c:pt>
                <c:pt idx="33">
                  <c:v>4.2444444444444479E-2</c:v>
                </c:pt>
                <c:pt idx="34">
                  <c:v>4.2444444444444479E-2</c:v>
                </c:pt>
                <c:pt idx="35">
                  <c:v>4.2444444444444479E-2</c:v>
                </c:pt>
                <c:pt idx="36">
                  <c:v>4.2444444444444479E-2</c:v>
                </c:pt>
                <c:pt idx="37">
                  <c:v>4.2444444444444479E-2</c:v>
                </c:pt>
                <c:pt idx="38">
                  <c:v>4.2444444444444479E-2</c:v>
                </c:pt>
                <c:pt idx="39">
                  <c:v>4.2444444444444479E-2</c:v>
                </c:pt>
                <c:pt idx="40">
                  <c:v>4.2444444444444479E-2</c:v>
                </c:pt>
                <c:pt idx="41">
                  <c:v>4.2444444444444479E-2</c:v>
                </c:pt>
                <c:pt idx="42">
                  <c:v>4.2444444444444479E-2</c:v>
                </c:pt>
                <c:pt idx="43">
                  <c:v>4.2444444444444479E-2</c:v>
                </c:pt>
                <c:pt idx="44">
                  <c:v>4.2444444444444479E-2</c:v>
                </c:pt>
                <c:pt idx="45">
                  <c:v>4.2444444444444479E-2</c:v>
                </c:pt>
                <c:pt idx="46">
                  <c:v>4.2444444444444479E-2</c:v>
                </c:pt>
                <c:pt idx="47">
                  <c:v>4.2444444444444479E-2</c:v>
                </c:pt>
                <c:pt idx="48">
                  <c:v>4.2444444444444479E-2</c:v>
                </c:pt>
                <c:pt idx="49">
                  <c:v>4.2444444444444479E-2</c:v>
                </c:pt>
                <c:pt idx="50">
                  <c:v>4.2444444444444479E-2</c:v>
                </c:pt>
                <c:pt idx="51">
                  <c:v>4.2444444444444479E-2</c:v>
                </c:pt>
                <c:pt idx="52">
                  <c:v>4.2444444444444479E-2</c:v>
                </c:pt>
                <c:pt idx="53">
                  <c:v>4.2444444444444479E-2</c:v>
                </c:pt>
                <c:pt idx="54">
                  <c:v>4.2444444444444479E-2</c:v>
                </c:pt>
                <c:pt idx="55">
                  <c:v>4.2444444444444479E-2</c:v>
                </c:pt>
                <c:pt idx="56">
                  <c:v>4.2444444444444479E-2</c:v>
                </c:pt>
                <c:pt idx="57">
                  <c:v>4.2444444444444479E-2</c:v>
                </c:pt>
                <c:pt idx="58">
                  <c:v>4.2444444444444479E-2</c:v>
                </c:pt>
                <c:pt idx="59">
                  <c:v>4.2444444444444479E-2</c:v>
                </c:pt>
                <c:pt idx="60">
                  <c:v>4.2444444444444479E-2</c:v>
                </c:pt>
                <c:pt idx="61">
                  <c:v>4.2444444444444479E-2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44-4C28-8D35-E12FE9912823}"/>
            </c:ext>
          </c:extLst>
        </c:ser>
        <c:ser>
          <c:idx val="2"/>
          <c:order val="1"/>
          <c:tx>
            <c:strRef>
              <c:f>'Carta 0'!$AD$6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0'!$R$7:$R$68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0'!$AD$7:$AD$68</c:f>
              <c:numCache>
                <c:formatCode>General</c:formatCode>
                <c:ptCount val="62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4-4C28-8D35-E12FE9912823}"/>
            </c:ext>
          </c:extLst>
        </c:ser>
        <c:ser>
          <c:idx val="3"/>
          <c:order val="2"/>
          <c:tx>
            <c:strRef>
              <c:f>'Carta 0'!$AE$6</c:f>
              <c:strCache>
                <c:ptCount val="1"/>
                <c:pt idx="0">
                  <c:v>LCS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0'!$R$7:$R$68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0'!$AE$7:$AE$68</c:f>
              <c:numCache>
                <c:formatCode>0.00</c:formatCode>
                <c:ptCount val="62"/>
                <c:pt idx="0">
                  <c:v>0.13873391111111122</c:v>
                </c:pt>
                <c:pt idx="1">
                  <c:v>0.13873391111111122</c:v>
                </c:pt>
                <c:pt idx="2">
                  <c:v>0.13873391111111122</c:v>
                </c:pt>
                <c:pt idx="3">
                  <c:v>0.13873391111111122</c:v>
                </c:pt>
                <c:pt idx="4">
                  <c:v>0.13873391111111122</c:v>
                </c:pt>
                <c:pt idx="5">
                  <c:v>0.13873391111111122</c:v>
                </c:pt>
                <c:pt idx="6">
                  <c:v>0.13873391111111122</c:v>
                </c:pt>
                <c:pt idx="7">
                  <c:v>0.13873391111111122</c:v>
                </c:pt>
                <c:pt idx="8">
                  <c:v>0.13873391111111122</c:v>
                </c:pt>
                <c:pt idx="9">
                  <c:v>0.13873391111111122</c:v>
                </c:pt>
                <c:pt idx="10">
                  <c:v>0.13873391111111122</c:v>
                </c:pt>
                <c:pt idx="11">
                  <c:v>0.13873391111111122</c:v>
                </c:pt>
                <c:pt idx="12">
                  <c:v>0.13873391111111122</c:v>
                </c:pt>
                <c:pt idx="13">
                  <c:v>0.13873391111111122</c:v>
                </c:pt>
                <c:pt idx="14">
                  <c:v>0.13873391111111122</c:v>
                </c:pt>
                <c:pt idx="15">
                  <c:v>0.13873391111111122</c:v>
                </c:pt>
                <c:pt idx="16">
                  <c:v>0.13873391111111122</c:v>
                </c:pt>
                <c:pt idx="17">
                  <c:v>0.13873391111111122</c:v>
                </c:pt>
                <c:pt idx="18">
                  <c:v>0.13873391111111122</c:v>
                </c:pt>
                <c:pt idx="19">
                  <c:v>0.13873391111111122</c:v>
                </c:pt>
                <c:pt idx="20">
                  <c:v>0.13873391111111122</c:v>
                </c:pt>
                <c:pt idx="21">
                  <c:v>0.13873391111111122</c:v>
                </c:pt>
                <c:pt idx="22">
                  <c:v>0.13873391111111122</c:v>
                </c:pt>
                <c:pt idx="23">
                  <c:v>0.13873391111111122</c:v>
                </c:pt>
                <c:pt idx="24">
                  <c:v>0.13873391111111122</c:v>
                </c:pt>
                <c:pt idx="25">
                  <c:v>0.13873391111111122</c:v>
                </c:pt>
                <c:pt idx="26">
                  <c:v>0.13873391111111122</c:v>
                </c:pt>
                <c:pt idx="27">
                  <c:v>0.13873391111111122</c:v>
                </c:pt>
                <c:pt idx="28">
                  <c:v>0.13873391111111122</c:v>
                </c:pt>
                <c:pt idx="29">
                  <c:v>0.13873391111111122</c:v>
                </c:pt>
                <c:pt idx="30">
                  <c:v>0.13873391111111122</c:v>
                </c:pt>
                <c:pt idx="31">
                  <c:v>0.13873391111111122</c:v>
                </c:pt>
                <c:pt idx="32">
                  <c:v>0.13873391111111122</c:v>
                </c:pt>
                <c:pt idx="33">
                  <c:v>0.13873391111111122</c:v>
                </c:pt>
                <c:pt idx="34">
                  <c:v>0.13873391111111122</c:v>
                </c:pt>
                <c:pt idx="35">
                  <c:v>0.13873391111111122</c:v>
                </c:pt>
                <c:pt idx="36">
                  <c:v>0.13873391111111122</c:v>
                </c:pt>
                <c:pt idx="37">
                  <c:v>0.13873391111111122</c:v>
                </c:pt>
                <c:pt idx="38">
                  <c:v>0.13873391111111122</c:v>
                </c:pt>
                <c:pt idx="39">
                  <c:v>0.13873391111111122</c:v>
                </c:pt>
                <c:pt idx="40">
                  <c:v>0.13873391111111122</c:v>
                </c:pt>
                <c:pt idx="41">
                  <c:v>0.13873391111111122</c:v>
                </c:pt>
                <c:pt idx="42">
                  <c:v>0.13873391111111122</c:v>
                </c:pt>
                <c:pt idx="43">
                  <c:v>0.13873391111111122</c:v>
                </c:pt>
                <c:pt idx="44">
                  <c:v>0.13873391111111122</c:v>
                </c:pt>
                <c:pt idx="45">
                  <c:v>0.13873391111111122</c:v>
                </c:pt>
                <c:pt idx="46">
                  <c:v>0.13873391111111122</c:v>
                </c:pt>
                <c:pt idx="47">
                  <c:v>0.13873391111111122</c:v>
                </c:pt>
                <c:pt idx="48">
                  <c:v>0.13873391111111122</c:v>
                </c:pt>
                <c:pt idx="49">
                  <c:v>0.13873391111111122</c:v>
                </c:pt>
                <c:pt idx="50">
                  <c:v>0.13873391111111122</c:v>
                </c:pt>
                <c:pt idx="51">
                  <c:v>0.13873391111111122</c:v>
                </c:pt>
                <c:pt idx="52">
                  <c:v>0.13873391111111122</c:v>
                </c:pt>
                <c:pt idx="53">
                  <c:v>0.13873391111111122</c:v>
                </c:pt>
                <c:pt idx="54">
                  <c:v>0.13873391111111122</c:v>
                </c:pt>
                <c:pt idx="55">
                  <c:v>0.13873391111111122</c:v>
                </c:pt>
                <c:pt idx="56">
                  <c:v>0.13873391111111122</c:v>
                </c:pt>
                <c:pt idx="57">
                  <c:v>0.13873391111111122</c:v>
                </c:pt>
                <c:pt idx="58">
                  <c:v>0.13873391111111122</c:v>
                </c:pt>
                <c:pt idx="59">
                  <c:v>0.13873391111111122</c:v>
                </c:pt>
                <c:pt idx="60">
                  <c:v>0.13873391111111122</c:v>
                </c:pt>
                <c:pt idx="61">
                  <c:v>0.13873391111111122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44-4C28-8D35-E12FE9912823}"/>
            </c:ext>
          </c:extLst>
        </c:ser>
        <c:ser>
          <c:idx val="0"/>
          <c:order val="3"/>
          <c:tx>
            <c:strRef>
              <c:f>'Carta 0'!$BR$5</c:f>
              <c:strCache>
                <c:ptCount val="1"/>
                <c:pt idx="0">
                  <c:v>RANGO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'Carta 0'!$BQ$7:$BQ$68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0'!$BS$7:$BS$68</c:f>
              <c:numCache>
                <c:formatCode>General</c:formatCode>
                <c:ptCount val="6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4-4C28-8D35-E12FE9912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432815"/>
        <c:axId val="1229439055"/>
      </c:scatterChart>
      <c:valAx>
        <c:axId val="1229432815"/>
        <c:scaling>
          <c:orientation val="minMax"/>
          <c:max val="6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9055"/>
        <c:crosses val="autoZero"/>
        <c:crossBetween val="midCat"/>
        <c:majorUnit val="5"/>
      </c:valAx>
      <c:valAx>
        <c:axId val="122943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Rangos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2815"/>
        <c:crosses val="autoZero"/>
        <c:crossBetween val="midCat"/>
      </c:valAx>
      <c:spPr>
        <a:solidFill>
          <a:schemeClr val="bg1">
            <a:lumMod val="85000"/>
          </a:schemeClr>
        </a:solidFill>
        <a:ln>
          <a:noFill/>
        </a:ln>
        <a:effectLst>
          <a:glow rad="101600">
            <a:schemeClr val="accent1">
              <a:satMod val="175000"/>
              <a:alpha val="1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50800" h="50800"/>
          <a:bevelB w="50800" h="50800"/>
        </a:sp3d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 4 -Carta de Medias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240100027441675"/>
          <c:y val="0.12452277236935953"/>
          <c:w val="0.87695818199755382"/>
          <c:h val="0.78199722222222223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'Carta 0'!$BB$6</c:f>
              <c:strCache>
                <c:ptCount val="1"/>
                <c:pt idx="0">
                  <c:v>Promedio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0'!$BB$7:$BB$68</c:f>
              <c:numCache>
                <c:formatCode>0.000</c:formatCode>
                <c:ptCount val="62"/>
                <c:pt idx="0">
                  <c:v>25.750800000000005</c:v>
                </c:pt>
                <c:pt idx="1">
                  <c:v>25.750800000000005</c:v>
                </c:pt>
                <c:pt idx="2">
                  <c:v>25.750800000000005</c:v>
                </c:pt>
                <c:pt idx="3">
                  <c:v>25.750800000000005</c:v>
                </c:pt>
                <c:pt idx="4">
                  <c:v>25.750800000000005</c:v>
                </c:pt>
                <c:pt idx="5">
                  <c:v>25.750800000000005</c:v>
                </c:pt>
                <c:pt idx="6">
                  <c:v>25.750800000000005</c:v>
                </c:pt>
                <c:pt idx="7">
                  <c:v>25.750800000000005</c:v>
                </c:pt>
                <c:pt idx="8">
                  <c:v>25.750800000000005</c:v>
                </c:pt>
                <c:pt idx="9">
                  <c:v>25.750800000000005</c:v>
                </c:pt>
                <c:pt idx="10">
                  <c:v>25.750800000000005</c:v>
                </c:pt>
                <c:pt idx="11">
                  <c:v>25.750800000000005</c:v>
                </c:pt>
                <c:pt idx="12">
                  <c:v>25.750800000000005</c:v>
                </c:pt>
                <c:pt idx="13">
                  <c:v>25.750800000000005</c:v>
                </c:pt>
                <c:pt idx="14">
                  <c:v>25.750800000000005</c:v>
                </c:pt>
                <c:pt idx="15">
                  <c:v>25.750800000000005</c:v>
                </c:pt>
                <c:pt idx="16">
                  <c:v>25.750800000000005</c:v>
                </c:pt>
                <c:pt idx="17">
                  <c:v>25.750800000000005</c:v>
                </c:pt>
                <c:pt idx="18">
                  <c:v>25.750800000000005</c:v>
                </c:pt>
                <c:pt idx="19">
                  <c:v>25.750800000000005</c:v>
                </c:pt>
                <c:pt idx="20">
                  <c:v>25.750800000000005</c:v>
                </c:pt>
                <c:pt idx="21">
                  <c:v>25.750800000000005</c:v>
                </c:pt>
                <c:pt idx="22">
                  <c:v>25.750800000000005</c:v>
                </c:pt>
                <c:pt idx="23">
                  <c:v>25.750800000000005</c:v>
                </c:pt>
                <c:pt idx="24">
                  <c:v>25.750800000000005</c:v>
                </c:pt>
                <c:pt idx="25">
                  <c:v>25.750800000000005</c:v>
                </c:pt>
                <c:pt idx="26">
                  <c:v>25.750800000000005</c:v>
                </c:pt>
                <c:pt idx="27">
                  <c:v>25.750800000000005</c:v>
                </c:pt>
                <c:pt idx="28">
                  <c:v>25.750800000000005</c:v>
                </c:pt>
                <c:pt idx="29">
                  <c:v>25.750800000000005</c:v>
                </c:pt>
                <c:pt idx="30">
                  <c:v>25.750800000000005</c:v>
                </c:pt>
                <c:pt idx="31">
                  <c:v>25.750800000000005</c:v>
                </c:pt>
                <c:pt idx="32">
                  <c:v>25.750800000000005</c:v>
                </c:pt>
                <c:pt idx="33">
                  <c:v>25.750800000000005</c:v>
                </c:pt>
                <c:pt idx="34">
                  <c:v>25.750800000000005</c:v>
                </c:pt>
                <c:pt idx="35">
                  <c:v>25.750800000000005</c:v>
                </c:pt>
                <c:pt idx="36">
                  <c:v>25.750800000000005</c:v>
                </c:pt>
                <c:pt idx="37">
                  <c:v>25.750800000000005</c:v>
                </c:pt>
                <c:pt idx="38">
                  <c:v>25.750800000000005</c:v>
                </c:pt>
                <c:pt idx="39">
                  <c:v>25.750800000000005</c:v>
                </c:pt>
                <c:pt idx="40">
                  <c:v>25.750800000000005</c:v>
                </c:pt>
                <c:pt idx="41">
                  <c:v>25.750800000000005</c:v>
                </c:pt>
                <c:pt idx="42">
                  <c:v>25.750800000000005</c:v>
                </c:pt>
                <c:pt idx="43">
                  <c:v>25.750800000000005</c:v>
                </c:pt>
                <c:pt idx="44">
                  <c:v>25.750800000000005</c:v>
                </c:pt>
                <c:pt idx="45">
                  <c:v>25.750800000000005</c:v>
                </c:pt>
                <c:pt idx="46">
                  <c:v>25.750800000000005</c:v>
                </c:pt>
                <c:pt idx="47">
                  <c:v>25.750800000000005</c:v>
                </c:pt>
                <c:pt idx="48">
                  <c:v>25.750800000000005</c:v>
                </c:pt>
                <c:pt idx="49">
                  <c:v>25.750800000000005</c:v>
                </c:pt>
                <c:pt idx="50">
                  <c:v>25.750800000000005</c:v>
                </c:pt>
                <c:pt idx="51">
                  <c:v>25.750800000000005</c:v>
                </c:pt>
                <c:pt idx="52">
                  <c:v>25.750800000000005</c:v>
                </c:pt>
                <c:pt idx="53">
                  <c:v>25.750800000000005</c:v>
                </c:pt>
                <c:pt idx="54">
                  <c:v>25.750800000000005</c:v>
                </c:pt>
                <c:pt idx="55">
                  <c:v>25.750800000000005</c:v>
                </c:pt>
                <c:pt idx="56">
                  <c:v>25.750800000000005</c:v>
                </c:pt>
                <c:pt idx="57">
                  <c:v>25.750800000000005</c:v>
                </c:pt>
                <c:pt idx="58">
                  <c:v>25.750800000000005</c:v>
                </c:pt>
                <c:pt idx="59">
                  <c:v>25.750800000000005</c:v>
                </c:pt>
                <c:pt idx="60">
                  <c:v>25.750800000000005</c:v>
                </c:pt>
                <c:pt idx="61">
                  <c:v>25.750800000000005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69-4F62-B2B2-285AC009AF7D}"/>
            </c:ext>
          </c:extLst>
        </c:ser>
        <c:ser>
          <c:idx val="2"/>
          <c:order val="1"/>
          <c:tx>
            <c:strRef>
              <c:f>'Carta 0'!$BD$6</c:f>
              <c:strCache>
                <c:ptCount val="1"/>
                <c:pt idx="0">
                  <c:v>L.A.S.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0'!$BD$7:$BD$68</c:f>
              <c:numCache>
                <c:formatCode>0.000</c:formatCode>
                <c:ptCount val="62"/>
                <c:pt idx="0">
                  <c:v>25.922618085618062</c:v>
                </c:pt>
                <c:pt idx="1">
                  <c:v>25.922618085618062</c:v>
                </c:pt>
                <c:pt idx="2">
                  <c:v>25.922618085618062</c:v>
                </c:pt>
                <c:pt idx="3">
                  <c:v>25.922618085618062</c:v>
                </c:pt>
                <c:pt idx="4">
                  <c:v>25.922618085618062</c:v>
                </c:pt>
                <c:pt idx="5">
                  <c:v>25.922618085618062</c:v>
                </c:pt>
                <c:pt idx="6">
                  <c:v>25.922618085618062</c:v>
                </c:pt>
                <c:pt idx="7">
                  <c:v>25.922618085618062</c:v>
                </c:pt>
                <c:pt idx="8">
                  <c:v>25.922618085618062</c:v>
                </c:pt>
                <c:pt idx="9">
                  <c:v>25.922618085618062</c:v>
                </c:pt>
                <c:pt idx="10">
                  <c:v>25.922618085618062</c:v>
                </c:pt>
                <c:pt idx="11">
                  <c:v>25.922618085618062</c:v>
                </c:pt>
                <c:pt idx="12">
                  <c:v>25.922618085618062</c:v>
                </c:pt>
                <c:pt idx="13">
                  <c:v>25.922618085618062</c:v>
                </c:pt>
                <c:pt idx="14">
                  <c:v>25.922618085618062</c:v>
                </c:pt>
                <c:pt idx="15">
                  <c:v>25.922618085618062</c:v>
                </c:pt>
                <c:pt idx="16">
                  <c:v>25.922618085618062</c:v>
                </c:pt>
                <c:pt idx="17">
                  <c:v>25.922618085618062</c:v>
                </c:pt>
                <c:pt idx="18">
                  <c:v>25.922618085618062</c:v>
                </c:pt>
                <c:pt idx="19">
                  <c:v>25.922618085618062</c:v>
                </c:pt>
                <c:pt idx="20">
                  <c:v>25.922618085618062</c:v>
                </c:pt>
                <c:pt idx="21">
                  <c:v>25.922618085618062</c:v>
                </c:pt>
                <c:pt idx="22">
                  <c:v>25.922618085618062</c:v>
                </c:pt>
                <c:pt idx="23">
                  <c:v>25.922618085618062</c:v>
                </c:pt>
                <c:pt idx="24">
                  <c:v>25.922618085618062</c:v>
                </c:pt>
                <c:pt idx="25">
                  <c:v>25.922618085618062</c:v>
                </c:pt>
                <c:pt idx="26">
                  <c:v>25.922618085618062</c:v>
                </c:pt>
                <c:pt idx="27">
                  <c:v>25.922618085618062</c:v>
                </c:pt>
                <c:pt idx="28">
                  <c:v>25.922618085618062</c:v>
                </c:pt>
                <c:pt idx="29">
                  <c:v>25.922618085618062</c:v>
                </c:pt>
                <c:pt idx="30">
                  <c:v>25.922618085618062</c:v>
                </c:pt>
                <c:pt idx="31">
                  <c:v>25.922618085618062</c:v>
                </c:pt>
                <c:pt idx="32">
                  <c:v>25.922618085618062</c:v>
                </c:pt>
                <c:pt idx="33">
                  <c:v>25.922618085618062</c:v>
                </c:pt>
                <c:pt idx="34">
                  <c:v>25.922618085618062</c:v>
                </c:pt>
                <c:pt idx="35">
                  <c:v>25.922618085618062</c:v>
                </c:pt>
                <c:pt idx="36">
                  <c:v>25.922618085618062</c:v>
                </c:pt>
                <c:pt idx="37">
                  <c:v>25.922618085618062</c:v>
                </c:pt>
                <c:pt idx="38">
                  <c:v>25.922618085618062</c:v>
                </c:pt>
                <c:pt idx="39">
                  <c:v>25.922618085618062</c:v>
                </c:pt>
                <c:pt idx="40">
                  <c:v>25.922618085618062</c:v>
                </c:pt>
                <c:pt idx="41">
                  <c:v>25.922618085618062</c:v>
                </c:pt>
                <c:pt idx="42">
                  <c:v>25.922618085618062</c:v>
                </c:pt>
                <c:pt idx="43">
                  <c:v>25.922618085618062</c:v>
                </c:pt>
                <c:pt idx="44">
                  <c:v>25.922618085618062</c:v>
                </c:pt>
                <c:pt idx="45">
                  <c:v>25.922618085618062</c:v>
                </c:pt>
                <c:pt idx="46">
                  <c:v>25.922618085618062</c:v>
                </c:pt>
                <c:pt idx="47">
                  <c:v>25.922618085618062</c:v>
                </c:pt>
                <c:pt idx="48">
                  <c:v>25.922618085618062</c:v>
                </c:pt>
                <c:pt idx="49">
                  <c:v>25.922618085618062</c:v>
                </c:pt>
                <c:pt idx="50">
                  <c:v>25.922618085618062</c:v>
                </c:pt>
                <c:pt idx="51">
                  <c:v>25.922618085618062</c:v>
                </c:pt>
                <c:pt idx="52">
                  <c:v>25.922618085618062</c:v>
                </c:pt>
                <c:pt idx="53">
                  <c:v>25.922618085618062</c:v>
                </c:pt>
                <c:pt idx="54">
                  <c:v>25.922618085618062</c:v>
                </c:pt>
                <c:pt idx="55">
                  <c:v>25.922618085618062</c:v>
                </c:pt>
                <c:pt idx="56">
                  <c:v>25.922618085618062</c:v>
                </c:pt>
                <c:pt idx="57">
                  <c:v>25.922618085618062</c:v>
                </c:pt>
                <c:pt idx="58">
                  <c:v>25.922618085618062</c:v>
                </c:pt>
                <c:pt idx="59">
                  <c:v>25.922618085618062</c:v>
                </c:pt>
                <c:pt idx="60">
                  <c:v>25.922618085618062</c:v>
                </c:pt>
                <c:pt idx="61">
                  <c:v>25.922618085618062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69-4F62-B2B2-285AC009AF7D}"/>
            </c:ext>
          </c:extLst>
        </c:ser>
        <c:ser>
          <c:idx val="3"/>
          <c:order val="2"/>
          <c:tx>
            <c:strRef>
              <c:f>'Carta 0'!$BE$6</c:f>
              <c:strCache>
                <c:ptCount val="1"/>
                <c:pt idx="0">
                  <c:v>L.A.I.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0'!$BE$7:$BE$68</c:f>
              <c:numCache>
                <c:formatCode>0.000</c:formatCode>
                <c:ptCount val="62"/>
                <c:pt idx="0">
                  <c:v>25.578981914381949</c:v>
                </c:pt>
                <c:pt idx="1">
                  <c:v>25.578981914381949</c:v>
                </c:pt>
                <c:pt idx="2">
                  <c:v>25.578981914381949</c:v>
                </c:pt>
                <c:pt idx="3">
                  <c:v>25.578981914381949</c:v>
                </c:pt>
                <c:pt idx="4">
                  <c:v>25.578981914381949</c:v>
                </c:pt>
                <c:pt idx="5">
                  <c:v>25.578981914381949</c:v>
                </c:pt>
                <c:pt idx="6">
                  <c:v>25.578981914381949</c:v>
                </c:pt>
                <c:pt idx="7">
                  <c:v>25.578981914381949</c:v>
                </c:pt>
                <c:pt idx="8">
                  <c:v>25.578981914381949</c:v>
                </c:pt>
                <c:pt idx="9">
                  <c:v>25.578981914381949</c:v>
                </c:pt>
                <c:pt idx="10">
                  <c:v>25.578981914381949</c:v>
                </c:pt>
                <c:pt idx="11">
                  <c:v>25.578981914381949</c:v>
                </c:pt>
                <c:pt idx="12">
                  <c:v>25.578981914381949</c:v>
                </c:pt>
                <c:pt idx="13">
                  <c:v>25.578981914381949</c:v>
                </c:pt>
                <c:pt idx="14">
                  <c:v>25.578981914381949</c:v>
                </c:pt>
                <c:pt idx="15">
                  <c:v>25.578981914381949</c:v>
                </c:pt>
                <c:pt idx="16">
                  <c:v>25.578981914381949</c:v>
                </c:pt>
                <c:pt idx="17">
                  <c:v>25.578981914381949</c:v>
                </c:pt>
                <c:pt idx="18">
                  <c:v>25.578981914381949</c:v>
                </c:pt>
                <c:pt idx="19">
                  <c:v>25.578981914381949</c:v>
                </c:pt>
                <c:pt idx="20">
                  <c:v>25.578981914381949</c:v>
                </c:pt>
                <c:pt idx="21">
                  <c:v>25.578981914381949</c:v>
                </c:pt>
                <c:pt idx="22">
                  <c:v>25.578981914381949</c:v>
                </c:pt>
                <c:pt idx="23">
                  <c:v>25.578981914381949</c:v>
                </c:pt>
                <c:pt idx="24">
                  <c:v>25.578981914381949</c:v>
                </c:pt>
                <c:pt idx="25">
                  <c:v>25.578981914381949</c:v>
                </c:pt>
                <c:pt idx="26">
                  <c:v>25.578981914381949</c:v>
                </c:pt>
                <c:pt idx="27">
                  <c:v>25.578981914381949</c:v>
                </c:pt>
                <c:pt idx="28">
                  <c:v>25.578981914381949</c:v>
                </c:pt>
                <c:pt idx="29">
                  <c:v>25.578981914381949</c:v>
                </c:pt>
                <c:pt idx="30">
                  <c:v>25.578981914381949</c:v>
                </c:pt>
                <c:pt idx="31">
                  <c:v>25.578981914381949</c:v>
                </c:pt>
                <c:pt idx="32">
                  <c:v>25.578981914381949</c:v>
                </c:pt>
                <c:pt idx="33">
                  <c:v>25.578981914381949</c:v>
                </c:pt>
                <c:pt idx="34">
                  <c:v>25.578981914381949</c:v>
                </c:pt>
                <c:pt idx="35">
                  <c:v>25.578981914381949</c:v>
                </c:pt>
                <c:pt idx="36">
                  <c:v>25.578981914381949</c:v>
                </c:pt>
                <c:pt idx="37">
                  <c:v>25.578981914381949</c:v>
                </c:pt>
                <c:pt idx="38">
                  <c:v>25.578981914381949</c:v>
                </c:pt>
                <c:pt idx="39">
                  <c:v>25.578981914381949</c:v>
                </c:pt>
                <c:pt idx="40">
                  <c:v>25.578981914381949</c:v>
                </c:pt>
                <c:pt idx="41">
                  <c:v>25.578981914381949</c:v>
                </c:pt>
                <c:pt idx="42">
                  <c:v>25.578981914381949</c:v>
                </c:pt>
                <c:pt idx="43">
                  <c:v>25.578981914381949</c:v>
                </c:pt>
                <c:pt idx="44">
                  <c:v>25.578981914381949</c:v>
                </c:pt>
                <c:pt idx="45">
                  <c:v>25.578981914381949</c:v>
                </c:pt>
                <c:pt idx="46">
                  <c:v>25.578981914381949</c:v>
                </c:pt>
                <c:pt idx="47">
                  <c:v>25.578981914381949</c:v>
                </c:pt>
                <c:pt idx="48">
                  <c:v>25.578981914381949</c:v>
                </c:pt>
                <c:pt idx="49">
                  <c:v>25.578981914381949</c:v>
                </c:pt>
                <c:pt idx="50">
                  <c:v>25.578981914381949</c:v>
                </c:pt>
                <c:pt idx="51">
                  <c:v>25.578981914381949</c:v>
                </c:pt>
                <c:pt idx="52">
                  <c:v>25.578981914381949</c:v>
                </c:pt>
                <c:pt idx="53">
                  <c:v>25.578981914381949</c:v>
                </c:pt>
                <c:pt idx="54">
                  <c:v>25.578981914381949</c:v>
                </c:pt>
                <c:pt idx="55">
                  <c:v>25.578981914381949</c:v>
                </c:pt>
                <c:pt idx="56">
                  <c:v>25.578981914381949</c:v>
                </c:pt>
                <c:pt idx="57">
                  <c:v>25.578981914381949</c:v>
                </c:pt>
                <c:pt idx="58">
                  <c:v>25.578981914381949</c:v>
                </c:pt>
                <c:pt idx="59">
                  <c:v>25.578981914381949</c:v>
                </c:pt>
                <c:pt idx="60">
                  <c:v>25.578981914381949</c:v>
                </c:pt>
                <c:pt idx="61">
                  <c:v>25.578981914381949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69-4F62-B2B2-285AC009AF7D}"/>
            </c:ext>
          </c:extLst>
        </c:ser>
        <c:ser>
          <c:idx val="4"/>
          <c:order val="3"/>
          <c:tx>
            <c:strRef>
              <c:f>'Carta 0'!$BF$6</c:f>
              <c:strCache>
                <c:ptCount val="1"/>
                <c:pt idx="0">
                  <c:v>L.D.S.</c:v>
                </c:pt>
              </c:strCache>
            </c:strRef>
          </c:tx>
          <c:spPr>
            <a:ln w="19050" cap="rnd">
              <a:solidFill>
                <a:srgbClr val="FFFF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0'!$AZ$7:$AZ$68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0'!$BF$7:$BF$68</c:f>
              <c:numCache>
                <c:formatCode>0.000</c:formatCode>
                <c:ptCount val="62"/>
                <c:pt idx="0">
                  <c:v>25.865345390412045</c:v>
                </c:pt>
                <c:pt idx="1">
                  <c:v>25.865345390412045</c:v>
                </c:pt>
                <c:pt idx="2">
                  <c:v>25.865345390412045</c:v>
                </c:pt>
                <c:pt idx="3">
                  <c:v>25.865345390412045</c:v>
                </c:pt>
                <c:pt idx="4">
                  <c:v>25.865345390412045</c:v>
                </c:pt>
                <c:pt idx="5">
                  <c:v>25.865345390412045</c:v>
                </c:pt>
                <c:pt idx="6">
                  <c:v>25.865345390412045</c:v>
                </c:pt>
                <c:pt idx="7">
                  <c:v>25.865345390412045</c:v>
                </c:pt>
                <c:pt idx="8">
                  <c:v>25.865345390412045</c:v>
                </c:pt>
                <c:pt idx="9">
                  <c:v>25.865345390412045</c:v>
                </c:pt>
                <c:pt idx="10">
                  <c:v>25.865345390412045</c:v>
                </c:pt>
                <c:pt idx="11">
                  <c:v>25.865345390412045</c:v>
                </c:pt>
                <c:pt idx="12">
                  <c:v>25.865345390412045</c:v>
                </c:pt>
                <c:pt idx="13">
                  <c:v>25.865345390412045</c:v>
                </c:pt>
                <c:pt idx="14">
                  <c:v>25.865345390412045</c:v>
                </c:pt>
                <c:pt idx="15">
                  <c:v>25.865345390412045</c:v>
                </c:pt>
                <c:pt idx="16">
                  <c:v>25.865345390412045</c:v>
                </c:pt>
                <c:pt idx="17">
                  <c:v>25.865345390412045</c:v>
                </c:pt>
                <c:pt idx="18">
                  <c:v>25.865345390412045</c:v>
                </c:pt>
                <c:pt idx="19">
                  <c:v>25.865345390412045</c:v>
                </c:pt>
                <c:pt idx="20">
                  <c:v>25.865345390412045</c:v>
                </c:pt>
                <c:pt idx="21">
                  <c:v>25.865345390412045</c:v>
                </c:pt>
                <c:pt idx="22">
                  <c:v>25.865345390412045</c:v>
                </c:pt>
                <c:pt idx="23">
                  <c:v>25.865345390412045</c:v>
                </c:pt>
                <c:pt idx="24">
                  <c:v>25.865345390412045</c:v>
                </c:pt>
                <c:pt idx="25">
                  <c:v>25.865345390412045</c:v>
                </c:pt>
                <c:pt idx="26">
                  <c:v>25.865345390412045</c:v>
                </c:pt>
                <c:pt idx="27">
                  <c:v>25.865345390412045</c:v>
                </c:pt>
                <c:pt idx="28">
                  <c:v>25.865345390412045</c:v>
                </c:pt>
                <c:pt idx="29">
                  <c:v>25.865345390412045</c:v>
                </c:pt>
                <c:pt idx="30">
                  <c:v>25.865345390412045</c:v>
                </c:pt>
                <c:pt idx="31">
                  <c:v>25.865345390412045</c:v>
                </c:pt>
                <c:pt idx="32">
                  <c:v>25.865345390412045</c:v>
                </c:pt>
                <c:pt idx="33">
                  <c:v>25.865345390412045</c:v>
                </c:pt>
                <c:pt idx="34">
                  <c:v>25.865345390412045</c:v>
                </c:pt>
                <c:pt idx="35">
                  <c:v>25.865345390412045</c:v>
                </c:pt>
                <c:pt idx="36">
                  <c:v>25.865345390412045</c:v>
                </c:pt>
                <c:pt idx="37">
                  <c:v>25.865345390412045</c:v>
                </c:pt>
                <c:pt idx="38">
                  <c:v>25.865345390412045</c:v>
                </c:pt>
                <c:pt idx="39">
                  <c:v>25.865345390412045</c:v>
                </c:pt>
                <c:pt idx="40">
                  <c:v>25.865345390412045</c:v>
                </c:pt>
                <c:pt idx="41">
                  <c:v>25.865345390412045</c:v>
                </c:pt>
                <c:pt idx="42">
                  <c:v>25.865345390412045</c:v>
                </c:pt>
                <c:pt idx="43">
                  <c:v>25.865345390412045</c:v>
                </c:pt>
                <c:pt idx="44">
                  <c:v>25.865345390412045</c:v>
                </c:pt>
                <c:pt idx="45">
                  <c:v>25.865345390412045</c:v>
                </c:pt>
                <c:pt idx="46">
                  <c:v>25.865345390412045</c:v>
                </c:pt>
                <c:pt idx="47">
                  <c:v>25.865345390412045</c:v>
                </c:pt>
                <c:pt idx="48">
                  <c:v>25.865345390412045</c:v>
                </c:pt>
                <c:pt idx="49">
                  <c:v>25.865345390412045</c:v>
                </c:pt>
                <c:pt idx="50">
                  <c:v>25.865345390412045</c:v>
                </c:pt>
                <c:pt idx="51">
                  <c:v>25.865345390412045</c:v>
                </c:pt>
                <c:pt idx="52">
                  <c:v>25.865345390412045</c:v>
                </c:pt>
                <c:pt idx="53">
                  <c:v>25.865345390412045</c:v>
                </c:pt>
                <c:pt idx="54">
                  <c:v>25.865345390412045</c:v>
                </c:pt>
                <c:pt idx="55">
                  <c:v>25.865345390412045</c:v>
                </c:pt>
                <c:pt idx="56">
                  <c:v>25.865345390412045</c:v>
                </c:pt>
                <c:pt idx="57">
                  <c:v>25.865345390412045</c:v>
                </c:pt>
                <c:pt idx="58">
                  <c:v>25.865345390412045</c:v>
                </c:pt>
                <c:pt idx="59">
                  <c:v>25.865345390412045</c:v>
                </c:pt>
                <c:pt idx="60">
                  <c:v>25.865345390412045</c:v>
                </c:pt>
                <c:pt idx="61">
                  <c:v>25.865345390412045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69-4F62-B2B2-285AC009AF7D}"/>
            </c:ext>
          </c:extLst>
        </c:ser>
        <c:ser>
          <c:idx val="5"/>
          <c:order val="4"/>
          <c:tx>
            <c:strRef>
              <c:f>'Carta 0'!$BG$6</c:f>
              <c:strCache>
                <c:ptCount val="1"/>
                <c:pt idx="0">
                  <c:v>L.D.I.</c:v>
                </c:pt>
              </c:strCache>
            </c:strRef>
          </c:tx>
          <c:spPr>
            <a:ln w="19050" cap="rnd">
              <a:solidFill>
                <a:srgbClr val="FFFF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0'!$AZ$7:$AZ$68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0'!$BG$7:$BG$68</c:f>
              <c:numCache>
                <c:formatCode>0.000</c:formatCode>
                <c:ptCount val="62"/>
                <c:pt idx="0">
                  <c:v>25.636254609587965</c:v>
                </c:pt>
                <c:pt idx="1">
                  <c:v>25.636254609587965</c:v>
                </c:pt>
                <c:pt idx="2">
                  <c:v>25.636254609587965</c:v>
                </c:pt>
                <c:pt idx="3">
                  <c:v>25.636254609587965</c:v>
                </c:pt>
                <c:pt idx="4">
                  <c:v>25.636254609587965</c:v>
                </c:pt>
                <c:pt idx="5">
                  <c:v>25.636254609587965</c:v>
                </c:pt>
                <c:pt idx="6">
                  <c:v>25.636254609587965</c:v>
                </c:pt>
                <c:pt idx="7">
                  <c:v>25.636254609587965</c:v>
                </c:pt>
                <c:pt idx="8">
                  <c:v>25.636254609587965</c:v>
                </c:pt>
                <c:pt idx="9">
                  <c:v>25.636254609587965</c:v>
                </c:pt>
                <c:pt idx="10">
                  <c:v>25.636254609587965</c:v>
                </c:pt>
                <c:pt idx="11">
                  <c:v>25.636254609587965</c:v>
                </c:pt>
                <c:pt idx="12">
                  <c:v>25.636254609587965</c:v>
                </c:pt>
                <c:pt idx="13">
                  <c:v>25.636254609587965</c:v>
                </c:pt>
                <c:pt idx="14">
                  <c:v>25.636254609587965</c:v>
                </c:pt>
                <c:pt idx="15">
                  <c:v>25.636254609587965</c:v>
                </c:pt>
                <c:pt idx="16">
                  <c:v>25.636254609587965</c:v>
                </c:pt>
                <c:pt idx="17">
                  <c:v>25.636254609587965</c:v>
                </c:pt>
                <c:pt idx="18">
                  <c:v>25.636254609587965</c:v>
                </c:pt>
                <c:pt idx="19">
                  <c:v>25.636254609587965</c:v>
                </c:pt>
                <c:pt idx="20">
                  <c:v>25.636254609587965</c:v>
                </c:pt>
                <c:pt idx="21">
                  <c:v>25.636254609587965</c:v>
                </c:pt>
                <c:pt idx="22">
                  <c:v>25.636254609587965</c:v>
                </c:pt>
                <c:pt idx="23">
                  <c:v>25.636254609587965</c:v>
                </c:pt>
                <c:pt idx="24">
                  <c:v>25.636254609587965</c:v>
                </c:pt>
                <c:pt idx="25">
                  <c:v>25.636254609587965</c:v>
                </c:pt>
                <c:pt idx="26">
                  <c:v>25.636254609587965</c:v>
                </c:pt>
                <c:pt idx="27">
                  <c:v>25.636254609587965</c:v>
                </c:pt>
                <c:pt idx="28">
                  <c:v>25.636254609587965</c:v>
                </c:pt>
                <c:pt idx="29">
                  <c:v>25.636254609587965</c:v>
                </c:pt>
                <c:pt idx="30">
                  <c:v>25.636254609587965</c:v>
                </c:pt>
                <c:pt idx="31">
                  <c:v>25.636254609587965</c:v>
                </c:pt>
                <c:pt idx="32">
                  <c:v>25.636254609587965</c:v>
                </c:pt>
                <c:pt idx="33">
                  <c:v>25.636254609587965</c:v>
                </c:pt>
                <c:pt idx="34">
                  <c:v>25.636254609587965</c:v>
                </c:pt>
                <c:pt idx="35">
                  <c:v>25.636254609587965</c:v>
                </c:pt>
                <c:pt idx="36">
                  <c:v>25.636254609587965</c:v>
                </c:pt>
                <c:pt idx="37">
                  <c:v>25.636254609587965</c:v>
                </c:pt>
                <c:pt idx="38">
                  <c:v>25.636254609587965</c:v>
                </c:pt>
                <c:pt idx="39">
                  <c:v>25.636254609587965</c:v>
                </c:pt>
                <c:pt idx="40">
                  <c:v>25.636254609587965</c:v>
                </c:pt>
                <c:pt idx="41">
                  <c:v>25.636254609587965</c:v>
                </c:pt>
                <c:pt idx="42">
                  <c:v>25.636254609587965</c:v>
                </c:pt>
                <c:pt idx="43">
                  <c:v>25.636254609587965</c:v>
                </c:pt>
                <c:pt idx="44">
                  <c:v>25.636254609587965</c:v>
                </c:pt>
                <c:pt idx="45">
                  <c:v>25.636254609587965</c:v>
                </c:pt>
                <c:pt idx="46">
                  <c:v>25.636254609587965</c:v>
                </c:pt>
                <c:pt idx="47">
                  <c:v>25.636254609587965</c:v>
                </c:pt>
                <c:pt idx="48">
                  <c:v>25.636254609587965</c:v>
                </c:pt>
                <c:pt idx="49">
                  <c:v>25.636254609587965</c:v>
                </c:pt>
                <c:pt idx="50">
                  <c:v>25.636254609587965</c:v>
                </c:pt>
                <c:pt idx="51">
                  <c:v>25.636254609587965</c:v>
                </c:pt>
                <c:pt idx="52">
                  <c:v>25.636254609587965</c:v>
                </c:pt>
                <c:pt idx="53">
                  <c:v>25.636254609587965</c:v>
                </c:pt>
                <c:pt idx="54">
                  <c:v>25.636254609587965</c:v>
                </c:pt>
                <c:pt idx="55">
                  <c:v>25.636254609587965</c:v>
                </c:pt>
                <c:pt idx="56">
                  <c:v>25.636254609587965</c:v>
                </c:pt>
                <c:pt idx="57">
                  <c:v>25.636254609587965</c:v>
                </c:pt>
                <c:pt idx="58">
                  <c:v>25.636254609587965</c:v>
                </c:pt>
                <c:pt idx="59">
                  <c:v>25.636254609587965</c:v>
                </c:pt>
                <c:pt idx="60">
                  <c:v>25.636254609587965</c:v>
                </c:pt>
                <c:pt idx="61">
                  <c:v>25.636254609587965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E69-4F62-B2B2-285AC009AF7D}"/>
            </c:ext>
          </c:extLst>
        </c:ser>
        <c:ser>
          <c:idx val="6"/>
          <c:order val="5"/>
          <c:tx>
            <c:strRef>
              <c:f>'Carta 0'!$BH$6</c:f>
              <c:strCache>
                <c:ptCount val="1"/>
                <c:pt idx="0">
                  <c:v>L.1S.S.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0'!$AZ$7:$AZ$68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0'!$BH$7:$BH$68</c:f>
              <c:numCache>
                <c:formatCode>0.000</c:formatCode>
                <c:ptCount val="62"/>
                <c:pt idx="0">
                  <c:v>25.808072695206025</c:v>
                </c:pt>
                <c:pt idx="1">
                  <c:v>25.808072695206025</c:v>
                </c:pt>
                <c:pt idx="2">
                  <c:v>25.808072695206025</c:v>
                </c:pt>
                <c:pt idx="3">
                  <c:v>25.808072695206025</c:v>
                </c:pt>
                <c:pt idx="4">
                  <c:v>25.808072695206025</c:v>
                </c:pt>
                <c:pt idx="5">
                  <c:v>25.808072695206025</c:v>
                </c:pt>
                <c:pt idx="6">
                  <c:v>25.808072695206025</c:v>
                </c:pt>
                <c:pt idx="7">
                  <c:v>25.808072695206025</c:v>
                </c:pt>
                <c:pt idx="8">
                  <c:v>25.808072695206025</c:v>
                </c:pt>
                <c:pt idx="9">
                  <c:v>25.808072695206025</c:v>
                </c:pt>
                <c:pt idx="10">
                  <c:v>25.808072695206025</c:v>
                </c:pt>
                <c:pt idx="11">
                  <c:v>25.808072695206025</c:v>
                </c:pt>
                <c:pt idx="12">
                  <c:v>25.808072695206025</c:v>
                </c:pt>
                <c:pt idx="13">
                  <c:v>25.808072695206025</c:v>
                </c:pt>
                <c:pt idx="14">
                  <c:v>25.808072695206025</c:v>
                </c:pt>
                <c:pt idx="15">
                  <c:v>25.808072695206025</c:v>
                </c:pt>
                <c:pt idx="16">
                  <c:v>25.808072695206025</c:v>
                </c:pt>
                <c:pt idx="17">
                  <c:v>25.808072695206025</c:v>
                </c:pt>
                <c:pt idx="18">
                  <c:v>25.808072695206025</c:v>
                </c:pt>
                <c:pt idx="19">
                  <c:v>25.808072695206025</c:v>
                </c:pt>
                <c:pt idx="20">
                  <c:v>25.808072695206025</c:v>
                </c:pt>
                <c:pt idx="21">
                  <c:v>25.808072695206025</c:v>
                </c:pt>
                <c:pt idx="22">
                  <c:v>25.808072695206025</c:v>
                </c:pt>
                <c:pt idx="23">
                  <c:v>25.808072695206025</c:v>
                </c:pt>
                <c:pt idx="24">
                  <c:v>25.808072695206025</c:v>
                </c:pt>
                <c:pt idx="25">
                  <c:v>25.808072695206025</c:v>
                </c:pt>
                <c:pt idx="26">
                  <c:v>25.808072695206025</c:v>
                </c:pt>
                <c:pt idx="27">
                  <c:v>25.808072695206025</c:v>
                </c:pt>
                <c:pt idx="28">
                  <c:v>25.808072695206025</c:v>
                </c:pt>
                <c:pt idx="29">
                  <c:v>25.808072695206025</c:v>
                </c:pt>
                <c:pt idx="30">
                  <c:v>25.808072695206025</c:v>
                </c:pt>
                <c:pt idx="31">
                  <c:v>25.808072695206025</c:v>
                </c:pt>
                <c:pt idx="32">
                  <c:v>25.808072695206025</c:v>
                </c:pt>
                <c:pt idx="33">
                  <c:v>25.808072695206025</c:v>
                </c:pt>
                <c:pt idx="34">
                  <c:v>25.808072695206025</c:v>
                </c:pt>
                <c:pt idx="35">
                  <c:v>25.808072695206025</c:v>
                </c:pt>
                <c:pt idx="36">
                  <c:v>25.808072695206025</c:v>
                </c:pt>
                <c:pt idx="37">
                  <c:v>25.808072695206025</c:v>
                </c:pt>
                <c:pt idx="38">
                  <c:v>25.808072695206025</c:v>
                </c:pt>
                <c:pt idx="39">
                  <c:v>25.808072695206025</c:v>
                </c:pt>
                <c:pt idx="40">
                  <c:v>25.808072695206025</c:v>
                </c:pt>
                <c:pt idx="41">
                  <c:v>25.808072695206025</c:v>
                </c:pt>
                <c:pt idx="42">
                  <c:v>25.808072695206025</c:v>
                </c:pt>
                <c:pt idx="43">
                  <c:v>25.808072695206025</c:v>
                </c:pt>
                <c:pt idx="44">
                  <c:v>25.808072695206025</c:v>
                </c:pt>
                <c:pt idx="45">
                  <c:v>25.808072695206025</c:v>
                </c:pt>
                <c:pt idx="46">
                  <c:v>25.808072695206025</c:v>
                </c:pt>
                <c:pt idx="47">
                  <c:v>25.808072695206025</c:v>
                </c:pt>
                <c:pt idx="48">
                  <c:v>25.808072695206025</c:v>
                </c:pt>
                <c:pt idx="49">
                  <c:v>25.808072695206025</c:v>
                </c:pt>
                <c:pt idx="50">
                  <c:v>25.808072695206025</c:v>
                </c:pt>
                <c:pt idx="51">
                  <c:v>25.808072695206025</c:v>
                </c:pt>
                <c:pt idx="52">
                  <c:v>25.808072695206025</c:v>
                </c:pt>
                <c:pt idx="53">
                  <c:v>25.808072695206025</c:v>
                </c:pt>
                <c:pt idx="54">
                  <c:v>25.808072695206025</c:v>
                </c:pt>
                <c:pt idx="55">
                  <c:v>25.808072695206025</c:v>
                </c:pt>
                <c:pt idx="56">
                  <c:v>25.808072695206025</c:v>
                </c:pt>
                <c:pt idx="57">
                  <c:v>25.808072695206025</c:v>
                </c:pt>
                <c:pt idx="58">
                  <c:v>25.808072695206025</c:v>
                </c:pt>
                <c:pt idx="59">
                  <c:v>25.808072695206025</c:v>
                </c:pt>
                <c:pt idx="60">
                  <c:v>25.808072695206025</c:v>
                </c:pt>
                <c:pt idx="61">
                  <c:v>25.808072695206025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E69-4F62-B2B2-285AC009AF7D}"/>
            </c:ext>
          </c:extLst>
        </c:ser>
        <c:ser>
          <c:idx val="7"/>
          <c:order val="6"/>
          <c:tx>
            <c:strRef>
              <c:f>'Carta 0'!$BI$6</c:f>
              <c:strCache>
                <c:ptCount val="1"/>
                <c:pt idx="0">
                  <c:v>L.1S.I.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0'!$AZ$7:$AZ$68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0'!$BI$7:$BI$68</c:f>
              <c:numCache>
                <c:formatCode>0.000</c:formatCode>
                <c:ptCount val="62"/>
                <c:pt idx="0">
                  <c:v>25.693527304793985</c:v>
                </c:pt>
                <c:pt idx="1">
                  <c:v>25.693527304793985</c:v>
                </c:pt>
                <c:pt idx="2">
                  <c:v>25.693527304793985</c:v>
                </c:pt>
                <c:pt idx="3">
                  <c:v>25.693527304793985</c:v>
                </c:pt>
                <c:pt idx="4">
                  <c:v>25.693527304793985</c:v>
                </c:pt>
                <c:pt idx="5">
                  <c:v>25.693527304793985</c:v>
                </c:pt>
                <c:pt idx="6">
                  <c:v>25.693527304793985</c:v>
                </c:pt>
                <c:pt idx="7">
                  <c:v>25.693527304793985</c:v>
                </c:pt>
                <c:pt idx="8">
                  <c:v>25.693527304793985</c:v>
                </c:pt>
                <c:pt idx="9">
                  <c:v>25.693527304793985</c:v>
                </c:pt>
                <c:pt idx="10">
                  <c:v>25.693527304793985</c:v>
                </c:pt>
                <c:pt idx="11">
                  <c:v>25.693527304793985</c:v>
                </c:pt>
                <c:pt idx="12">
                  <c:v>25.693527304793985</c:v>
                </c:pt>
                <c:pt idx="13">
                  <c:v>25.693527304793985</c:v>
                </c:pt>
                <c:pt idx="14">
                  <c:v>25.693527304793985</c:v>
                </c:pt>
                <c:pt idx="15">
                  <c:v>25.693527304793985</c:v>
                </c:pt>
                <c:pt idx="16">
                  <c:v>25.693527304793985</c:v>
                </c:pt>
                <c:pt idx="17">
                  <c:v>25.693527304793985</c:v>
                </c:pt>
                <c:pt idx="18">
                  <c:v>25.693527304793985</c:v>
                </c:pt>
                <c:pt idx="19">
                  <c:v>25.693527304793985</c:v>
                </c:pt>
                <c:pt idx="20">
                  <c:v>25.693527304793985</c:v>
                </c:pt>
                <c:pt idx="21">
                  <c:v>25.693527304793985</c:v>
                </c:pt>
                <c:pt idx="22">
                  <c:v>25.693527304793985</c:v>
                </c:pt>
                <c:pt idx="23">
                  <c:v>25.693527304793985</c:v>
                </c:pt>
                <c:pt idx="24">
                  <c:v>25.693527304793985</c:v>
                </c:pt>
                <c:pt idx="25">
                  <c:v>25.693527304793985</c:v>
                </c:pt>
                <c:pt idx="26">
                  <c:v>25.693527304793985</c:v>
                </c:pt>
                <c:pt idx="27">
                  <c:v>25.693527304793985</c:v>
                </c:pt>
                <c:pt idx="28">
                  <c:v>25.693527304793985</c:v>
                </c:pt>
                <c:pt idx="29">
                  <c:v>25.693527304793985</c:v>
                </c:pt>
                <c:pt idx="30">
                  <c:v>25.693527304793985</c:v>
                </c:pt>
                <c:pt idx="31">
                  <c:v>25.693527304793985</c:v>
                </c:pt>
                <c:pt idx="32">
                  <c:v>25.693527304793985</c:v>
                </c:pt>
                <c:pt idx="33">
                  <c:v>25.693527304793985</c:v>
                </c:pt>
                <c:pt idx="34">
                  <c:v>25.693527304793985</c:v>
                </c:pt>
                <c:pt idx="35">
                  <c:v>25.693527304793985</c:v>
                </c:pt>
                <c:pt idx="36">
                  <c:v>25.693527304793985</c:v>
                </c:pt>
                <c:pt idx="37">
                  <c:v>25.693527304793985</c:v>
                </c:pt>
                <c:pt idx="38">
                  <c:v>25.693527304793985</c:v>
                </c:pt>
                <c:pt idx="39">
                  <c:v>25.693527304793985</c:v>
                </c:pt>
                <c:pt idx="40">
                  <c:v>25.693527304793985</c:v>
                </c:pt>
                <c:pt idx="41">
                  <c:v>25.693527304793985</c:v>
                </c:pt>
                <c:pt idx="42">
                  <c:v>25.693527304793985</c:v>
                </c:pt>
                <c:pt idx="43">
                  <c:v>25.693527304793985</c:v>
                </c:pt>
                <c:pt idx="44">
                  <c:v>25.693527304793985</c:v>
                </c:pt>
                <c:pt idx="45">
                  <c:v>25.693527304793985</c:v>
                </c:pt>
                <c:pt idx="46">
                  <c:v>25.693527304793985</c:v>
                </c:pt>
                <c:pt idx="47">
                  <c:v>25.693527304793985</c:v>
                </c:pt>
                <c:pt idx="48">
                  <c:v>25.693527304793985</c:v>
                </c:pt>
                <c:pt idx="49">
                  <c:v>25.693527304793985</c:v>
                </c:pt>
                <c:pt idx="50">
                  <c:v>25.693527304793985</c:v>
                </c:pt>
                <c:pt idx="51">
                  <c:v>25.693527304793985</c:v>
                </c:pt>
                <c:pt idx="52">
                  <c:v>25.693527304793985</c:v>
                </c:pt>
                <c:pt idx="53">
                  <c:v>25.693527304793985</c:v>
                </c:pt>
                <c:pt idx="54">
                  <c:v>25.693527304793985</c:v>
                </c:pt>
                <c:pt idx="55">
                  <c:v>25.693527304793985</c:v>
                </c:pt>
                <c:pt idx="56">
                  <c:v>25.693527304793985</c:v>
                </c:pt>
                <c:pt idx="57">
                  <c:v>25.693527304793985</c:v>
                </c:pt>
                <c:pt idx="58">
                  <c:v>25.693527304793985</c:v>
                </c:pt>
                <c:pt idx="59">
                  <c:v>25.693527304793985</c:v>
                </c:pt>
                <c:pt idx="60">
                  <c:v>25.693527304793985</c:v>
                </c:pt>
                <c:pt idx="61">
                  <c:v>25.693527304793985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E69-4F62-B2B2-285AC009AF7D}"/>
            </c:ext>
          </c:extLst>
        </c:ser>
        <c:ser>
          <c:idx val="0"/>
          <c:order val="7"/>
          <c:tx>
            <c:strRef>
              <c:f>Datos!$E$1</c:f>
              <c:strCache>
                <c:ptCount val="1"/>
                <c:pt idx="0">
                  <c:v>CAPILAR 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Datos!$A$2:$A$61</c:f>
              <c:numCache>
                <c:formatCode>General</c:formatCode>
                <c:ptCount val="60"/>
              </c:numCache>
            </c:numRef>
          </c:xVal>
          <c:yVal>
            <c:numRef>
              <c:f>Datos!$E$2:$E$61</c:f>
              <c:numCache>
                <c:formatCode>0.00</c:formatCode>
                <c:ptCount val="6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E69-4F62-B2B2-285AC009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522431"/>
        <c:axId val="1059523871"/>
      </c:scatterChart>
      <c:valAx>
        <c:axId val="1059522431"/>
        <c:scaling>
          <c:orientation val="minMax"/>
          <c:max val="6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3871"/>
        <c:crosses val="autoZero"/>
        <c:crossBetween val="midCat"/>
        <c:majorUnit val="5"/>
        <c:minorUnit val="5"/>
      </c:valAx>
      <c:valAx>
        <c:axId val="105952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2431"/>
        <c:crossesAt val="0"/>
        <c:crossBetween val="midCat"/>
      </c:valAx>
      <c:spPr>
        <a:solidFill>
          <a:schemeClr val="bg1">
            <a:lumMod val="85000"/>
          </a:schemeClr>
        </a:solidFill>
        <a:ln>
          <a:noFill/>
        </a:ln>
        <a:effectLst>
          <a:glow rad="101600">
            <a:schemeClr val="accent1">
              <a:satMod val="175000"/>
              <a:alpha val="10000"/>
            </a:schemeClr>
          </a:glow>
          <a:outerShdw blurRad="50800" dir="60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50800" h="50800"/>
          <a:bevelB w="50800" h="50800"/>
        </a:sp3d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 4 -Rangos dinamicos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198055555555556"/>
          <c:y val="0.11895025252525253"/>
          <c:w val="0.87536327160493832"/>
          <c:h val="0.7838007575757576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'Carta 0'!$BK$6</c:f>
              <c:strCache>
                <c:ptCount val="1"/>
                <c:pt idx="0">
                  <c:v>Promedio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0'!$BK$7:$BK$68</c:f>
              <c:numCache>
                <c:formatCode>0.00</c:formatCode>
                <c:ptCount val="62"/>
                <c:pt idx="0">
                  <c:v>3.6565656565656614E-2</c:v>
                </c:pt>
                <c:pt idx="1">
                  <c:v>3.6565656565656614E-2</c:v>
                </c:pt>
                <c:pt idx="2">
                  <c:v>3.6565656565656614E-2</c:v>
                </c:pt>
                <c:pt idx="3">
                  <c:v>3.6565656565656614E-2</c:v>
                </c:pt>
                <c:pt idx="4">
                  <c:v>3.6565656565656614E-2</c:v>
                </c:pt>
                <c:pt idx="5">
                  <c:v>3.6565656565656614E-2</c:v>
                </c:pt>
                <c:pt idx="6">
                  <c:v>3.6565656565656614E-2</c:v>
                </c:pt>
                <c:pt idx="7">
                  <c:v>3.6565656565656614E-2</c:v>
                </c:pt>
                <c:pt idx="8">
                  <c:v>3.6565656565656614E-2</c:v>
                </c:pt>
                <c:pt idx="9">
                  <c:v>3.6565656565656614E-2</c:v>
                </c:pt>
                <c:pt idx="10">
                  <c:v>3.6565656565656614E-2</c:v>
                </c:pt>
                <c:pt idx="11">
                  <c:v>3.6565656565656614E-2</c:v>
                </c:pt>
                <c:pt idx="12">
                  <c:v>3.6565656565656614E-2</c:v>
                </c:pt>
                <c:pt idx="13">
                  <c:v>3.6565656565656614E-2</c:v>
                </c:pt>
                <c:pt idx="14">
                  <c:v>3.6565656565656614E-2</c:v>
                </c:pt>
                <c:pt idx="15">
                  <c:v>3.6565656565656614E-2</c:v>
                </c:pt>
                <c:pt idx="16">
                  <c:v>3.6565656565656614E-2</c:v>
                </c:pt>
                <c:pt idx="17">
                  <c:v>3.6565656565656614E-2</c:v>
                </c:pt>
                <c:pt idx="18">
                  <c:v>3.6565656565656614E-2</c:v>
                </c:pt>
                <c:pt idx="19">
                  <c:v>3.6565656565656614E-2</c:v>
                </c:pt>
                <c:pt idx="20">
                  <c:v>3.6565656565656614E-2</c:v>
                </c:pt>
                <c:pt idx="21">
                  <c:v>3.6565656565656614E-2</c:v>
                </c:pt>
                <c:pt idx="22">
                  <c:v>3.6565656565656614E-2</c:v>
                </c:pt>
                <c:pt idx="23">
                  <c:v>3.6565656565656614E-2</c:v>
                </c:pt>
                <c:pt idx="24">
                  <c:v>3.6565656565656614E-2</c:v>
                </c:pt>
                <c:pt idx="25">
                  <c:v>3.6565656565656614E-2</c:v>
                </c:pt>
                <c:pt idx="26">
                  <c:v>3.6565656565656614E-2</c:v>
                </c:pt>
                <c:pt idx="27">
                  <c:v>3.6565656565656614E-2</c:v>
                </c:pt>
                <c:pt idx="28">
                  <c:v>3.6565656565656614E-2</c:v>
                </c:pt>
                <c:pt idx="29">
                  <c:v>3.6565656565656614E-2</c:v>
                </c:pt>
                <c:pt idx="30">
                  <c:v>3.6565656565656614E-2</c:v>
                </c:pt>
                <c:pt idx="31">
                  <c:v>3.6565656565656614E-2</c:v>
                </c:pt>
                <c:pt idx="32">
                  <c:v>3.6565656565656614E-2</c:v>
                </c:pt>
                <c:pt idx="33">
                  <c:v>3.6565656565656614E-2</c:v>
                </c:pt>
                <c:pt idx="34">
                  <c:v>3.6565656565656614E-2</c:v>
                </c:pt>
                <c:pt idx="35">
                  <c:v>3.6565656565656614E-2</c:v>
                </c:pt>
                <c:pt idx="36">
                  <c:v>3.6565656565656614E-2</c:v>
                </c:pt>
                <c:pt idx="37">
                  <c:v>3.6565656565656614E-2</c:v>
                </c:pt>
                <c:pt idx="38">
                  <c:v>3.6565656565656614E-2</c:v>
                </c:pt>
                <c:pt idx="39">
                  <c:v>3.6565656565656614E-2</c:v>
                </c:pt>
                <c:pt idx="40">
                  <c:v>3.6565656565656614E-2</c:v>
                </c:pt>
                <c:pt idx="41">
                  <c:v>3.6565656565656614E-2</c:v>
                </c:pt>
                <c:pt idx="42">
                  <c:v>3.6565656565656614E-2</c:v>
                </c:pt>
                <c:pt idx="43">
                  <c:v>3.6565656565656614E-2</c:v>
                </c:pt>
                <c:pt idx="44">
                  <c:v>3.6565656565656614E-2</c:v>
                </c:pt>
                <c:pt idx="45">
                  <c:v>3.6565656565656614E-2</c:v>
                </c:pt>
                <c:pt idx="46">
                  <c:v>3.6565656565656614E-2</c:v>
                </c:pt>
                <c:pt idx="47">
                  <c:v>3.6565656565656614E-2</c:v>
                </c:pt>
                <c:pt idx="48">
                  <c:v>3.6565656565656614E-2</c:v>
                </c:pt>
                <c:pt idx="49">
                  <c:v>3.6565656565656614E-2</c:v>
                </c:pt>
                <c:pt idx="50">
                  <c:v>3.6565656565656614E-2</c:v>
                </c:pt>
                <c:pt idx="51">
                  <c:v>3.6565656565656614E-2</c:v>
                </c:pt>
                <c:pt idx="52">
                  <c:v>3.6565656565656614E-2</c:v>
                </c:pt>
                <c:pt idx="53">
                  <c:v>3.6565656565656614E-2</c:v>
                </c:pt>
                <c:pt idx="54">
                  <c:v>3.6565656565656614E-2</c:v>
                </c:pt>
                <c:pt idx="55">
                  <c:v>3.6565656565656614E-2</c:v>
                </c:pt>
                <c:pt idx="56">
                  <c:v>3.6565656565656614E-2</c:v>
                </c:pt>
                <c:pt idx="57">
                  <c:v>3.6565656565656614E-2</c:v>
                </c:pt>
                <c:pt idx="58">
                  <c:v>3.6565656565656614E-2</c:v>
                </c:pt>
                <c:pt idx="59">
                  <c:v>3.6565656565656614E-2</c:v>
                </c:pt>
                <c:pt idx="60">
                  <c:v>3.6565656565656614E-2</c:v>
                </c:pt>
                <c:pt idx="61">
                  <c:v>3.6565656565656614E-2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1B-4734-A612-1DF6A6B1D504}"/>
            </c:ext>
          </c:extLst>
        </c:ser>
        <c:ser>
          <c:idx val="2"/>
          <c:order val="1"/>
          <c:tx>
            <c:strRef>
              <c:f>'Carta 0'!$BL$6</c:f>
              <c:strCache>
                <c:ptCount val="1"/>
                <c:pt idx="0">
                  <c:v>LCI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0'!$BL$7:$BL$68</c:f>
              <c:numCache>
                <c:formatCode>General</c:formatCode>
                <c:ptCount val="62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  <c:pt idx="15" formatCode="0.00">
                  <c:v>0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1B-4734-A612-1DF6A6B1D504}"/>
            </c:ext>
          </c:extLst>
        </c:ser>
        <c:ser>
          <c:idx val="3"/>
          <c:order val="2"/>
          <c:tx>
            <c:strRef>
              <c:f>'Carta 0'!$BM$6</c:f>
              <c:strCache>
                <c:ptCount val="1"/>
                <c:pt idx="0">
                  <c:v>LCS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0'!$BM$7:$BM$68</c:f>
              <c:numCache>
                <c:formatCode>0.00</c:formatCode>
                <c:ptCount val="62"/>
                <c:pt idx="0">
                  <c:v>0.11951850505050521</c:v>
                </c:pt>
                <c:pt idx="1">
                  <c:v>0.11951850505050521</c:v>
                </c:pt>
                <c:pt idx="2">
                  <c:v>0.11951850505050521</c:v>
                </c:pt>
                <c:pt idx="3">
                  <c:v>0.11951850505050521</c:v>
                </c:pt>
                <c:pt idx="4">
                  <c:v>0.11951850505050521</c:v>
                </c:pt>
                <c:pt idx="5">
                  <c:v>0.11951850505050521</c:v>
                </c:pt>
                <c:pt idx="6">
                  <c:v>0.11951850505050521</c:v>
                </c:pt>
                <c:pt idx="7">
                  <c:v>0.11951850505050521</c:v>
                </c:pt>
                <c:pt idx="8">
                  <c:v>0.11951850505050521</c:v>
                </c:pt>
                <c:pt idx="9">
                  <c:v>0.11951850505050521</c:v>
                </c:pt>
                <c:pt idx="10">
                  <c:v>0.11951850505050521</c:v>
                </c:pt>
                <c:pt idx="11">
                  <c:v>0.11951850505050521</c:v>
                </c:pt>
                <c:pt idx="12">
                  <c:v>0.11951850505050521</c:v>
                </c:pt>
                <c:pt idx="13">
                  <c:v>0.11951850505050521</c:v>
                </c:pt>
                <c:pt idx="14">
                  <c:v>0.11951850505050521</c:v>
                </c:pt>
                <c:pt idx="15">
                  <c:v>0.11951850505050521</c:v>
                </c:pt>
                <c:pt idx="16">
                  <c:v>0.11951850505050521</c:v>
                </c:pt>
                <c:pt idx="17">
                  <c:v>0.11951850505050521</c:v>
                </c:pt>
                <c:pt idx="18">
                  <c:v>0.11951850505050521</c:v>
                </c:pt>
                <c:pt idx="19">
                  <c:v>0.11951850505050521</c:v>
                </c:pt>
                <c:pt idx="20">
                  <c:v>0.11951850505050521</c:v>
                </c:pt>
                <c:pt idx="21">
                  <c:v>0.11951850505050521</c:v>
                </c:pt>
                <c:pt idx="22">
                  <c:v>0.11951850505050521</c:v>
                </c:pt>
                <c:pt idx="23">
                  <c:v>0.11951850505050521</c:v>
                </c:pt>
                <c:pt idx="24">
                  <c:v>0.11951850505050521</c:v>
                </c:pt>
                <c:pt idx="25">
                  <c:v>0.11951850505050521</c:v>
                </c:pt>
                <c:pt idx="26">
                  <c:v>0.11951850505050521</c:v>
                </c:pt>
                <c:pt idx="27">
                  <c:v>0.11951850505050521</c:v>
                </c:pt>
                <c:pt idx="28">
                  <c:v>0.11951850505050521</c:v>
                </c:pt>
                <c:pt idx="29">
                  <c:v>0.11951850505050521</c:v>
                </c:pt>
                <c:pt idx="30">
                  <c:v>0.11951850505050521</c:v>
                </c:pt>
                <c:pt idx="31">
                  <c:v>0.11951850505050521</c:v>
                </c:pt>
                <c:pt idx="32">
                  <c:v>0.11951850505050521</c:v>
                </c:pt>
                <c:pt idx="33">
                  <c:v>0.11951850505050521</c:v>
                </c:pt>
                <c:pt idx="34">
                  <c:v>0.11951850505050521</c:v>
                </c:pt>
                <c:pt idx="35">
                  <c:v>0.11951850505050521</c:v>
                </c:pt>
                <c:pt idx="36">
                  <c:v>0.11951850505050521</c:v>
                </c:pt>
                <c:pt idx="37">
                  <c:v>0.11951850505050521</c:v>
                </c:pt>
                <c:pt idx="38">
                  <c:v>0.11951850505050521</c:v>
                </c:pt>
                <c:pt idx="39">
                  <c:v>0.11951850505050521</c:v>
                </c:pt>
                <c:pt idx="40">
                  <c:v>0.11951850505050521</c:v>
                </c:pt>
                <c:pt idx="41">
                  <c:v>0.11951850505050521</c:v>
                </c:pt>
                <c:pt idx="42">
                  <c:v>0.11951850505050521</c:v>
                </c:pt>
                <c:pt idx="43">
                  <c:v>0.11951850505050521</c:v>
                </c:pt>
                <c:pt idx="44">
                  <c:v>0.11951850505050521</c:v>
                </c:pt>
                <c:pt idx="45">
                  <c:v>0.11951850505050521</c:v>
                </c:pt>
                <c:pt idx="46">
                  <c:v>0.11951850505050521</c:v>
                </c:pt>
                <c:pt idx="47">
                  <c:v>0.11951850505050521</c:v>
                </c:pt>
                <c:pt idx="48">
                  <c:v>0.11951850505050521</c:v>
                </c:pt>
                <c:pt idx="49">
                  <c:v>0.11951850505050521</c:v>
                </c:pt>
                <c:pt idx="50">
                  <c:v>0.11951850505050521</c:v>
                </c:pt>
                <c:pt idx="51">
                  <c:v>0.11951850505050521</c:v>
                </c:pt>
                <c:pt idx="52">
                  <c:v>0.11951850505050521</c:v>
                </c:pt>
                <c:pt idx="53">
                  <c:v>0.11951850505050521</c:v>
                </c:pt>
                <c:pt idx="54">
                  <c:v>0.11951850505050521</c:v>
                </c:pt>
                <c:pt idx="55">
                  <c:v>0.11951850505050521</c:v>
                </c:pt>
                <c:pt idx="56">
                  <c:v>0.11951850505050521</c:v>
                </c:pt>
                <c:pt idx="57">
                  <c:v>0.11951850505050521</c:v>
                </c:pt>
                <c:pt idx="58">
                  <c:v>0.11951850505050521</c:v>
                </c:pt>
                <c:pt idx="59">
                  <c:v>0.11951850505050521</c:v>
                </c:pt>
                <c:pt idx="60">
                  <c:v>0.11951850505050521</c:v>
                </c:pt>
                <c:pt idx="61">
                  <c:v>0.11951850505050521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1B-4734-A612-1DF6A6B1D504}"/>
            </c:ext>
          </c:extLst>
        </c:ser>
        <c:ser>
          <c:idx val="0"/>
          <c:order val="3"/>
          <c:tx>
            <c:strRef>
              <c:f>'Carta 0'!$BU$6</c:f>
              <c:strCache>
                <c:ptCount val="1"/>
                <c:pt idx="0">
                  <c:v>Capilar 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'Carta 0'!$BQ$7:$BQ$68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'Carta 0'!$BU$7:$BU$68</c:f>
              <c:numCache>
                <c:formatCode>General</c:formatCode>
                <c:ptCount val="6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1B-4734-A612-1DF6A6B1D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432815"/>
        <c:axId val="1229439055"/>
      </c:scatterChart>
      <c:valAx>
        <c:axId val="1229432815"/>
        <c:scaling>
          <c:orientation val="minMax"/>
          <c:max val="6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9055"/>
        <c:crosses val="autoZero"/>
        <c:crossBetween val="midCat"/>
        <c:majorUnit val="5"/>
      </c:valAx>
      <c:valAx>
        <c:axId val="122943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Rangos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2815"/>
        <c:crosses val="autoZero"/>
        <c:crossBetween val="midCat"/>
      </c:valAx>
      <c:spPr>
        <a:solidFill>
          <a:schemeClr val="bg1">
            <a:lumMod val="85000"/>
          </a:schemeClr>
        </a:solidFill>
        <a:ln>
          <a:noFill/>
        </a:ln>
        <a:effectLst>
          <a:glow rad="101600">
            <a:schemeClr val="accent1">
              <a:satMod val="175000"/>
              <a:alpha val="1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50800" h="50800"/>
          <a:bevelB w="50800" h="50800"/>
        </a:sp3d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 1 -Carta de Medias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5.2287235151002052E-2"/>
          <c:y val="0.12452277236935953"/>
          <c:w val="0.92735482265593583"/>
          <c:h val="0.72106299431159993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yVal>
            <c:numRef>
              <c:f>'Carta 0'!$C$7:$C$68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6F-43F6-B4D3-1A74D0B37010}"/>
            </c:ext>
          </c:extLst>
        </c:ser>
        <c:ser>
          <c:idx val="2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yVal>
            <c:numRef>
              <c:f>'Carta 0'!$E$7:$E$68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6F-43F6-B4D3-1A74D0B37010}"/>
            </c:ext>
          </c:extLst>
        </c:ser>
        <c:ser>
          <c:idx val="3"/>
          <c:order val="2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yVal>
            <c:numRef>
              <c:f>'Carta 0'!$F$7:$F$68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6F-43F6-B4D3-1A74D0B37010}"/>
            </c:ext>
          </c:extLst>
        </c:ser>
        <c:ser>
          <c:idx val="4"/>
          <c:order val="3"/>
          <c:spPr>
            <a:ln w="28575" cap="rnd">
              <a:solidFill>
                <a:srgbClr val="FFFF00"/>
              </a:solidFill>
              <a:prstDash val="lgDash"/>
              <a:round/>
            </a:ln>
            <a:effectLst/>
          </c:spPr>
          <c:marker>
            <c:symbol val="none"/>
          </c:marker>
          <c:yVal>
            <c:numRef>
              <c:f>'Carta 0'!$G$7:$G$68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6F-43F6-B4D3-1A74D0B37010}"/>
            </c:ext>
          </c:extLst>
        </c:ser>
        <c:ser>
          <c:idx val="5"/>
          <c:order val="4"/>
          <c:spPr>
            <a:ln w="28575" cap="rnd">
              <a:solidFill>
                <a:srgbClr val="FFFF00"/>
              </a:solidFill>
              <a:prstDash val="lgDash"/>
              <a:round/>
            </a:ln>
            <a:effectLst/>
          </c:spPr>
          <c:marker>
            <c:symbol val="none"/>
          </c:marker>
          <c:yVal>
            <c:numRef>
              <c:f>'Carta 0'!$H$7:$H$68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6F-43F6-B4D3-1A74D0B37010}"/>
            </c:ext>
          </c:extLst>
        </c:ser>
        <c:ser>
          <c:idx val="6"/>
          <c:order val="5"/>
          <c:spPr>
            <a:ln w="28575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yVal>
            <c:numRef>
              <c:f>'Carta 0'!$I$7:$I$68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6F-43F6-B4D3-1A74D0B37010}"/>
            </c:ext>
          </c:extLst>
        </c:ser>
        <c:ser>
          <c:idx val="7"/>
          <c:order val="6"/>
          <c:spPr>
            <a:ln w="28575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yVal>
            <c:numRef>
              <c:f>'Carta 0'!$J$7:$J$68</c:f>
              <c:numCache>
                <c:formatCode>0.000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6F-43F6-B4D3-1A74D0B37010}"/>
            </c:ext>
          </c:extLst>
        </c:ser>
        <c:ser>
          <c:idx val="0"/>
          <c:order val="7"/>
          <c:tx>
            <c:strRef>
              <c:f>'Carta 0'!$B$6</c:f>
              <c:strCache>
                <c:ptCount val="1"/>
                <c:pt idx="0">
                  <c:v>Capilar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'Carta 0'!$B$8:$B$37</c:f>
              <c:numCache>
                <c:formatCode>General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6F-43F6-B4D3-1A74D0B37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522431"/>
        <c:axId val="1059523871"/>
      </c:scatterChart>
      <c:valAx>
        <c:axId val="1059522431"/>
        <c:scaling>
          <c:orientation val="minMax"/>
          <c:max val="6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3871"/>
        <c:crosses val="autoZero"/>
        <c:crossBetween val="midCat"/>
        <c:majorUnit val="5"/>
        <c:minorUnit val="5"/>
      </c:valAx>
      <c:valAx>
        <c:axId val="105952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2431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 1 -Rangos dinamicos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yVal>
            <c:numRef>
              <c:f>'Carta 0'!$L$7:$L$68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69-4F96-BCD7-95F6147ACEC8}"/>
            </c:ext>
          </c:extLst>
        </c:ser>
        <c:ser>
          <c:idx val="2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yVal>
            <c:numRef>
              <c:f>'Carta 0'!$M$7:$M$68</c:f>
              <c:numCache>
                <c:formatCode>General</c:formatCode>
                <c:ptCount val="62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69-4F96-BCD7-95F6147ACEC8}"/>
            </c:ext>
          </c:extLst>
        </c:ser>
        <c:ser>
          <c:idx val="3"/>
          <c:order val="2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yVal>
            <c:numRef>
              <c:f>'Carta 0'!$N$8:$N$68</c:f>
              <c:numCache>
                <c:formatCode>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69-4F96-BCD7-95F6147ACEC8}"/>
            </c:ext>
          </c:extLst>
        </c:ser>
        <c:ser>
          <c:idx val="0"/>
          <c:order val="3"/>
          <c:tx>
            <c:strRef>
              <c:f>'Carta 0'!$K$6</c:f>
              <c:strCache>
                <c:ptCount val="1"/>
                <c:pt idx="0">
                  <c:v>rango movil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'Carta 0'!$A$7:$A$37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'Carta 0'!$K$7:$K$37</c:f>
              <c:numCache>
                <c:formatCode>General</c:formatCode>
                <c:ptCount val="31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69-4F96-BCD7-95F6147AC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432815"/>
        <c:axId val="1229439055"/>
      </c:scatterChart>
      <c:valAx>
        <c:axId val="1229432815"/>
        <c:scaling>
          <c:orientation val="minMax"/>
          <c:max val="6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9055"/>
        <c:crosses val="autoZero"/>
        <c:crossBetween val="midCat"/>
        <c:majorUnit val="5"/>
      </c:valAx>
      <c:valAx>
        <c:axId val="122943905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Rangos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2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 2 -Carta de Medias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659598765432099"/>
          <c:y val="0.12452277236935953"/>
          <c:w val="0.87270771604938269"/>
          <c:h val="0.72106299431159993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'Carta 0'!$T$6</c:f>
              <c:strCache>
                <c:ptCount val="1"/>
                <c:pt idx="0">
                  <c:v>Promedio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'Carta 0'!$R$7:$R$157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0'!$T$7:$T$157</c:f>
              <c:numCache>
                <c:formatCode>0.000</c:formatCode>
                <c:ptCount val="151"/>
                <c:pt idx="0">
                  <c:v>6.3964700000000017</c:v>
                </c:pt>
                <c:pt idx="1">
                  <c:v>6.3964700000000017</c:v>
                </c:pt>
                <c:pt idx="2">
                  <c:v>6.3964700000000017</c:v>
                </c:pt>
                <c:pt idx="3">
                  <c:v>6.3964700000000017</c:v>
                </c:pt>
                <c:pt idx="4">
                  <c:v>6.3964700000000017</c:v>
                </c:pt>
                <c:pt idx="5">
                  <c:v>6.3964700000000017</c:v>
                </c:pt>
                <c:pt idx="6">
                  <c:v>6.3964700000000017</c:v>
                </c:pt>
                <c:pt idx="7">
                  <c:v>6.3964700000000017</c:v>
                </c:pt>
                <c:pt idx="8">
                  <c:v>6.3964700000000017</c:v>
                </c:pt>
                <c:pt idx="9">
                  <c:v>6.3964700000000017</c:v>
                </c:pt>
                <c:pt idx="10">
                  <c:v>6.3964700000000017</c:v>
                </c:pt>
                <c:pt idx="11">
                  <c:v>6.3964700000000017</c:v>
                </c:pt>
                <c:pt idx="12">
                  <c:v>6.3964700000000017</c:v>
                </c:pt>
                <c:pt idx="13">
                  <c:v>6.3964700000000017</c:v>
                </c:pt>
                <c:pt idx="14">
                  <c:v>6.3964700000000017</c:v>
                </c:pt>
                <c:pt idx="15">
                  <c:v>6.3964700000000017</c:v>
                </c:pt>
                <c:pt idx="16">
                  <c:v>6.3964700000000017</c:v>
                </c:pt>
                <c:pt idx="17">
                  <c:v>6.3964700000000017</c:v>
                </c:pt>
                <c:pt idx="18">
                  <c:v>6.3964700000000017</c:v>
                </c:pt>
                <c:pt idx="19">
                  <c:v>6.3964700000000017</c:v>
                </c:pt>
                <c:pt idx="20">
                  <c:v>6.3964700000000017</c:v>
                </c:pt>
                <c:pt idx="21">
                  <c:v>6.3964700000000017</c:v>
                </c:pt>
                <c:pt idx="22">
                  <c:v>6.3964700000000017</c:v>
                </c:pt>
                <c:pt idx="23">
                  <c:v>6.3964700000000017</c:v>
                </c:pt>
                <c:pt idx="24">
                  <c:v>6.3964700000000017</c:v>
                </c:pt>
                <c:pt idx="25">
                  <c:v>6.3964700000000017</c:v>
                </c:pt>
                <c:pt idx="26">
                  <c:v>6.3964700000000017</c:v>
                </c:pt>
                <c:pt idx="27">
                  <c:v>6.3964700000000017</c:v>
                </c:pt>
                <c:pt idx="28">
                  <c:v>6.3964700000000017</c:v>
                </c:pt>
                <c:pt idx="29">
                  <c:v>6.3964700000000017</c:v>
                </c:pt>
                <c:pt idx="30">
                  <c:v>6.3964700000000017</c:v>
                </c:pt>
                <c:pt idx="31">
                  <c:v>6.3964700000000017</c:v>
                </c:pt>
                <c:pt idx="32">
                  <c:v>6.3964700000000017</c:v>
                </c:pt>
                <c:pt idx="33">
                  <c:v>6.3964700000000017</c:v>
                </c:pt>
                <c:pt idx="34">
                  <c:v>6.3964700000000017</c:v>
                </c:pt>
                <c:pt idx="35">
                  <c:v>6.3964700000000017</c:v>
                </c:pt>
                <c:pt idx="36">
                  <c:v>6.3964700000000017</c:v>
                </c:pt>
                <c:pt idx="37">
                  <c:v>6.3964700000000017</c:v>
                </c:pt>
                <c:pt idx="38">
                  <c:v>6.3964700000000017</c:v>
                </c:pt>
                <c:pt idx="39">
                  <c:v>6.3964700000000017</c:v>
                </c:pt>
                <c:pt idx="40">
                  <c:v>6.3964700000000017</c:v>
                </c:pt>
                <c:pt idx="41">
                  <c:v>6.3964700000000017</c:v>
                </c:pt>
                <c:pt idx="42">
                  <c:v>6.3964700000000017</c:v>
                </c:pt>
                <c:pt idx="43">
                  <c:v>6.3964700000000017</c:v>
                </c:pt>
                <c:pt idx="44">
                  <c:v>6.3964700000000017</c:v>
                </c:pt>
                <c:pt idx="45">
                  <c:v>6.3964700000000017</c:v>
                </c:pt>
                <c:pt idx="46">
                  <c:v>6.3964700000000017</c:v>
                </c:pt>
                <c:pt idx="47">
                  <c:v>6.3964700000000017</c:v>
                </c:pt>
                <c:pt idx="48">
                  <c:v>6.3964700000000017</c:v>
                </c:pt>
                <c:pt idx="49">
                  <c:v>6.3964700000000017</c:v>
                </c:pt>
                <c:pt idx="50">
                  <c:v>6.3964700000000017</c:v>
                </c:pt>
                <c:pt idx="51">
                  <c:v>6.3964700000000017</c:v>
                </c:pt>
                <c:pt idx="52">
                  <c:v>6.3964700000000017</c:v>
                </c:pt>
                <c:pt idx="53">
                  <c:v>6.3964700000000017</c:v>
                </c:pt>
                <c:pt idx="54">
                  <c:v>6.3964700000000017</c:v>
                </c:pt>
                <c:pt idx="55">
                  <c:v>6.3964700000000017</c:v>
                </c:pt>
                <c:pt idx="56">
                  <c:v>6.3964700000000017</c:v>
                </c:pt>
                <c:pt idx="57">
                  <c:v>6.3964700000000017</c:v>
                </c:pt>
                <c:pt idx="58">
                  <c:v>6.3964700000000017</c:v>
                </c:pt>
                <c:pt idx="59">
                  <c:v>6.3964700000000017</c:v>
                </c:pt>
                <c:pt idx="60">
                  <c:v>6.3964700000000017</c:v>
                </c:pt>
                <c:pt idx="61">
                  <c:v>6.3964700000000017</c:v>
                </c:pt>
                <c:pt idx="62">
                  <c:v>6.3964700000000017</c:v>
                </c:pt>
                <c:pt idx="63">
                  <c:v>6.3964700000000017</c:v>
                </c:pt>
                <c:pt idx="64">
                  <c:v>6.3964700000000017</c:v>
                </c:pt>
                <c:pt idx="65">
                  <c:v>6.3964700000000017</c:v>
                </c:pt>
                <c:pt idx="66">
                  <c:v>6.3964700000000017</c:v>
                </c:pt>
                <c:pt idx="67">
                  <c:v>6.3964700000000017</c:v>
                </c:pt>
                <c:pt idx="68">
                  <c:v>6.3964700000000017</c:v>
                </c:pt>
                <c:pt idx="69">
                  <c:v>6.3964700000000017</c:v>
                </c:pt>
                <c:pt idx="70">
                  <c:v>6.3964700000000017</c:v>
                </c:pt>
                <c:pt idx="71">
                  <c:v>6.3964700000000017</c:v>
                </c:pt>
                <c:pt idx="72">
                  <c:v>6.3964700000000017</c:v>
                </c:pt>
                <c:pt idx="73">
                  <c:v>6.3964700000000017</c:v>
                </c:pt>
                <c:pt idx="74">
                  <c:v>6.3964700000000017</c:v>
                </c:pt>
                <c:pt idx="75">
                  <c:v>6.3964700000000017</c:v>
                </c:pt>
                <c:pt idx="76">
                  <c:v>6.3964700000000017</c:v>
                </c:pt>
                <c:pt idx="77">
                  <c:v>6.3964700000000017</c:v>
                </c:pt>
                <c:pt idx="78">
                  <c:v>6.3964700000000017</c:v>
                </c:pt>
                <c:pt idx="79">
                  <c:v>6.3964700000000017</c:v>
                </c:pt>
                <c:pt idx="80">
                  <c:v>6.3964700000000017</c:v>
                </c:pt>
                <c:pt idx="81">
                  <c:v>6.3964700000000017</c:v>
                </c:pt>
                <c:pt idx="82">
                  <c:v>6.3964700000000017</c:v>
                </c:pt>
                <c:pt idx="83">
                  <c:v>6.3964700000000017</c:v>
                </c:pt>
                <c:pt idx="84">
                  <c:v>6.3964700000000017</c:v>
                </c:pt>
                <c:pt idx="85">
                  <c:v>6.3964700000000017</c:v>
                </c:pt>
                <c:pt idx="86">
                  <c:v>6.3964700000000017</c:v>
                </c:pt>
                <c:pt idx="87">
                  <c:v>6.3964700000000017</c:v>
                </c:pt>
                <c:pt idx="88">
                  <c:v>6.3964700000000017</c:v>
                </c:pt>
                <c:pt idx="89">
                  <c:v>6.3964700000000017</c:v>
                </c:pt>
                <c:pt idx="90">
                  <c:v>6.3964700000000017</c:v>
                </c:pt>
                <c:pt idx="91">
                  <c:v>6.3964700000000017</c:v>
                </c:pt>
                <c:pt idx="92">
                  <c:v>6.3964700000000017</c:v>
                </c:pt>
                <c:pt idx="93">
                  <c:v>6.3964700000000017</c:v>
                </c:pt>
                <c:pt idx="94">
                  <c:v>6.3964700000000017</c:v>
                </c:pt>
                <c:pt idx="95">
                  <c:v>6.3964700000000017</c:v>
                </c:pt>
                <c:pt idx="96">
                  <c:v>6.3964700000000017</c:v>
                </c:pt>
                <c:pt idx="97">
                  <c:v>6.3964700000000017</c:v>
                </c:pt>
                <c:pt idx="98">
                  <c:v>6.3964700000000017</c:v>
                </c:pt>
                <c:pt idx="99">
                  <c:v>6.3964700000000017</c:v>
                </c:pt>
                <c:pt idx="100">
                  <c:v>6.3964700000000017</c:v>
                </c:pt>
                <c:pt idx="101">
                  <c:v>6.3964700000000017</c:v>
                </c:pt>
                <c:pt idx="102">
                  <c:v>6.3964700000000017</c:v>
                </c:pt>
                <c:pt idx="103">
                  <c:v>6.3964700000000017</c:v>
                </c:pt>
                <c:pt idx="104">
                  <c:v>6.3964700000000017</c:v>
                </c:pt>
                <c:pt idx="105">
                  <c:v>6.3964700000000017</c:v>
                </c:pt>
                <c:pt idx="106">
                  <c:v>6.3964700000000017</c:v>
                </c:pt>
                <c:pt idx="107">
                  <c:v>6.3964700000000017</c:v>
                </c:pt>
                <c:pt idx="108">
                  <c:v>6.3964700000000017</c:v>
                </c:pt>
                <c:pt idx="109">
                  <c:v>6.3964700000000017</c:v>
                </c:pt>
                <c:pt idx="110">
                  <c:v>6.3964700000000017</c:v>
                </c:pt>
                <c:pt idx="111">
                  <c:v>6.3964700000000017</c:v>
                </c:pt>
                <c:pt idx="112">
                  <c:v>6.3964700000000017</c:v>
                </c:pt>
                <c:pt idx="113">
                  <c:v>6.3964700000000017</c:v>
                </c:pt>
                <c:pt idx="114">
                  <c:v>6.3964700000000017</c:v>
                </c:pt>
                <c:pt idx="115">
                  <c:v>6.3964700000000017</c:v>
                </c:pt>
                <c:pt idx="116">
                  <c:v>6.3964700000000017</c:v>
                </c:pt>
                <c:pt idx="117">
                  <c:v>6.3964700000000017</c:v>
                </c:pt>
                <c:pt idx="118">
                  <c:v>6.3964700000000017</c:v>
                </c:pt>
                <c:pt idx="119">
                  <c:v>6.3964700000000017</c:v>
                </c:pt>
                <c:pt idx="120">
                  <c:v>6.3964700000000017</c:v>
                </c:pt>
                <c:pt idx="121">
                  <c:v>6.3964700000000017</c:v>
                </c:pt>
                <c:pt idx="122">
                  <c:v>6.3964700000000017</c:v>
                </c:pt>
                <c:pt idx="123">
                  <c:v>6.3964700000000017</c:v>
                </c:pt>
                <c:pt idx="124">
                  <c:v>6.3964700000000017</c:v>
                </c:pt>
                <c:pt idx="125">
                  <c:v>6.3964700000000017</c:v>
                </c:pt>
                <c:pt idx="126">
                  <c:v>6.3964700000000017</c:v>
                </c:pt>
                <c:pt idx="127">
                  <c:v>6.3964700000000017</c:v>
                </c:pt>
                <c:pt idx="128">
                  <c:v>6.3964700000000017</c:v>
                </c:pt>
                <c:pt idx="129">
                  <c:v>6.3964700000000017</c:v>
                </c:pt>
                <c:pt idx="130">
                  <c:v>6.3964700000000017</c:v>
                </c:pt>
                <c:pt idx="131">
                  <c:v>6.3964700000000017</c:v>
                </c:pt>
                <c:pt idx="132">
                  <c:v>6.3964700000000017</c:v>
                </c:pt>
                <c:pt idx="133">
                  <c:v>6.3964700000000017</c:v>
                </c:pt>
                <c:pt idx="134">
                  <c:v>6.3964700000000017</c:v>
                </c:pt>
                <c:pt idx="135">
                  <c:v>6.3964700000000017</c:v>
                </c:pt>
                <c:pt idx="136">
                  <c:v>6.3964700000000017</c:v>
                </c:pt>
                <c:pt idx="137">
                  <c:v>6.3964700000000017</c:v>
                </c:pt>
                <c:pt idx="138">
                  <c:v>6.3964700000000017</c:v>
                </c:pt>
                <c:pt idx="139">
                  <c:v>6.3964700000000017</c:v>
                </c:pt>
                <c:pt idx="140">
                  <c:v>6.3964700000000017</c:v>
                </c:pt>
                <c:pt idx="141">
                  <c:v>6.3964700000000017</c:v>
                </c:pt>
                <c:pt idx="142">
                  <c:v>6.3964700000000017</c:v>
                </c:pt>
                <c:pt idx="143">
                  <c:v>6.3964700000000017</c:v>
                </c:pt>
                <c:pt idx="144">
                  <c:v>6.3964700000000017</c:v>
                </c:pt>
                <c:pt idx="145">
                  <c:v>6.3964700000000017</c:v>
                </c:pt>
                <c:pt idx="146">
                  <c:v>6.3964700000000017</c:v>
                </c:pt>
                <c:pt idx="147">
                  <c:v>6.3964700000000017</c:v>
                </c:pt>
                <c:pt idx="148">
                  <c:v>6.3964700000000017</c:v>
                </c:pt>
                <c:pt idx="149">
                  <c:v>6.3964700000000017</c:v>
                </c:pt>
                <c:pt idx="150">
                  <c:v>6.3964700000000017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0A-4C19-8E07-4571F0F5EDD9}"/>
            </c:ext>
          </c:extLst>
        </c:ser>
        <c:ser>
          <c:idx val="2"/>
          <c:order val="1"/>
          <c:tx>
            <c:strRef>
              <c:f>'Carta 0'!$V$6</c:f>
              <c:strCache>
                <c:ptCount val="1"/>
                <c:pt idx="0">
                  <c:v>L.A.S.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0'!$R$7:$R$157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0'!$V$7:$V$157</c:f>
              <c:numCache>
                <c:formatCode>0.000</c:formatCode>
                <c:ptCount val="151"/>
                <c:pt idx="0">
                  <c:v>6.5278628564545009</c:v>
                </c:pt>
                <c:pt idx="1">
                  <c:v>6.5278628564545009</c:v>
                </c:pt>
                <c:pt idx="2">
                  <c:v>6.5278628564545009</c:v>
                </c:pt>
                <c:pt idx="3">
                  <c:v>6.5278628564545009</c:v>
                </c:pt>
                <c:pt idx="4">
                  <c:v>6.5278628564545009</c:v>
                </c:pt>
                <c:pt idx="5">
                  <c:v>6.5278628564545009</c:v>
                </c:pt>
                <c:pt idx="6">
                  <c:v>6.5278628564545009</c:v>
                </c:pt>
                <c:pt idx="7">
                  <c:v>6.5278628564545009</c:v>
                </c:pt>
                <c:pt idx="8">
                  <c:v>6.5278628564545009</c:v>
                </c:pt>
                <c:pt idx="9">
                  <c:v>6.5278628564545009</c:v>
                </c:pt>
                <c:pt idx="10">
                  <c:v>6.5278628564545009</c:v>
                </c:pt>
                <c:pt idx="11">
                  <c:v>6.5278628564545009</c:v>
                </c:pt>
                <c:pt idx="12">
                  <c:v>6.5278628564545009</c:v>
                </c:pt>
                <c:pt idx="13">
                  <c:v>6.5278628564545009</c:v>
                </c:pt>
                <c:pt idx="14">
                  <c:v>6.5278628564545009</c:v>
                </c:pt>
                <c:pt idx="15">
                  <c:v>6.5278628564545009</c:v>
                </c:pt>
                <c:pt idx="16">
                  <c:v>6.5278628564545009</c:v>
                </c:pt>
                <c:pt idx="17">
                  <c:v>6.5278628564545009</c:v>
                </c:pt>
                <c:pt idx="18">
                  <c:v>6.5278628564545009</c:v>
                </c:pt>
                <c:pt idx="19">
                  <c:v>6.5278628564545009</c:v>
                </c:pt>
                <c:pt idx="20">
                  <c:v>6.5278628564545009</c:v>
                </c:pt>
                <c:pt idx="21">
                  <c:v>6.5278628564545009</c:v>
                </c:pt>
                <c:pt idx="22">
                  <c:v>6.5278628564545009</c:v>
                </c:pt>
                <c:pt idx="23">
                  <c:v>6.5278628564545009</c:v>
                </c:pt>
                <c:pt idx="24">
                  <c:v>6.5278628564545009</c:v>
                </c:pt>
                <c:pt idx="25">
                  <c:v>6.5278628564545009</c:v>
                </c:pt>
                <c:pt idx="26">
                  <c:v>6.5278628564545009</c:v>
                </c:pt>
                <c:pt idx="27">
                  <c:v>6.5278628564545009</c:v>
                </c:pt>
                <c:pt idx="28">
                  <c:v>6.5278628564545009</c:v>
                </c:pt>
                <c:pt idx="29">
                  <c:v>6.5278628564545009</c:v>
                </c:pt>
                <c:pt idx="30">
                  <c:v>6.5278628564545009</c:v>
                </c:pt>
                <c:pt idx="31">
                  <c:v>6.5278628564545009</c:v>
                </c:pt>
                <c:pt idx="32">
                  <c:v>6.5278628564545009</c:v>
                </c:pt>
                <c:pt idx="33">
                  <c:v>6.5278628564545009</c:v>
                </c:pt>
                <c:pt idx="34">
                  <c:v>6.5278628564545009</c:v>
                </c:pt>
                <c:pt idx="35">
                  <c:v>6.5278628564545009</c:v>
                </c:pt>
                <c:pt idx="36">
                  <c:v>6.5278628564545009</c:v>
                </c:pt>
                <c:pt idx="37">
                  <c:v>6.5278628564545009</c:v>
                </c:pt>
                <c:pt idx="38">
                  <c:v>6.5278628564545009</c:v>
                </c:pt>
                <c:pt idx="39">
                  <c:v>6.5278628564545009</c:v>
                </c:pt>
                <c:pt idx="40">
                  <c:v>6.5278628564545009</c:v>
                </c:pt>
                <c:pt idx="41">
                  <c:v>6.5278628564545009</c:v>
                </c:pt>
                <c:pt idx="42">
                  <c:v>6.5278628564545009</c:v>
                </c:pt>
                <c:pt idx="43">
                  <c:v>6.5278628564545009</c:v>
                </c:pt>
                <c:pt idx="44">
                  <c:v>6.5278628564545009</c:v>
                </c:pt>
                <c:pt idx="45">
                  <c:v>6.5278628564545009</c:v>
                </c:pt>
                <c:pt idx="46">
                  <c:v>6.5278628564545009</c:v>
                </c:pt>
                <c:pt idx="47">
                  <c:v>6.5278628564545009</c:v>
                </c:pt>
                <c:pt idx="48">
                  <c:v>6.5278628564545009</c:v>
                </c:pt>
                <c:pt idx="49">
                  <c:v>6.5278628564545009</c:v>
                </c:pt>
                <c:pt idx="50">
                  <c:v>6.5278628564545009</c:v>
                </c:pt>
                <c:pt idx="51">
                  <c:v>6.5278628564545009</c:v>
                </c:pt>
                <c:pt idx="52">
                  <c:v>6.5278628564545009</c:v>
                </c:pt>
                <c:pt idx="53">
                  <c:v>6.5278628564545009</c:v>
                </c:pt>
                <c:pt idx="54">
                  <c:v>6.5278628564545009</c:v>
                </c:pt>
                <c:pt idx="55">
                  <c:v>6.5278628564545009</c:v>
                </c:pt>
                <c:pt idx="56">
                  <c:v>6.5278628564545009</c:v>
                </c:pt>
                <c:pt idx="57">
                  <c:v>6.5278628564545009</c:v>
                </c:pt>
                <c:pt idx="58">
                  <c:v>6.5278628564545009</c:v>
                </c:pt>
                <c:pt idx="59">
                  <c:v>6.5278628564545009</c:v>
                </c:pt>
                <c:pt idx="60">
                  <c:v>6.5278628564545009</c:v>
                </c:pt>
                <c:pt idx="61">
                  <c:v>6.5278628564545009</c:v>
                </c:pt>
                <c:pt idx="62">
                  <c:v>6.5278628564545009</c:v>
                </c:pt>
                <c:pt idx="63">
                  <c:v>6.5278628564545009</c:v>
                </c:pt>
                <c:pt idx="64">
                  <c:v>6.5278628564545009</c:v>
                </c:pt>
                <c:pt idx="65">
                  <c:v>6.5278628564545009</c:v>
                </c:pt>
                <c:pt idx="66">
                  <c:v>6.5278628564545009</c:v>
                </c:pt>
                <c:pt idx="67">
                  <c:v>6.5278628564545009</c:v>
                </c:pt>
                <c:pt idx="68">
                  <c:v>6.5278628564545009</c:v>
                </c:pt>
                <c:pt idx="69">
                  <c:v>6.5278628564545009</c:v>
                </c:pt>
                <c:pt idx="70">
                  <c:v>6.5278628564545009</c:v>
                </c:pt>
                <c:pt idx="71">
                  <c:v>6.5278628564545009</c:v>
                </c:pt>
                <c:pt idx="72">
                  <c:v>6.5278628564545009</c:v>
                </c:pt>
                <c:pt idx="73">
                  <c:v>6.5278628564545009</c:v>
                </c:pt>
                <c:pt idx="74">
                  <c:v>6.5278628564545009</c:v>
                </c:pt>
                <c:pt idx="75">
                  <c:v>6.5278628564545009</c:v>
                </c:pt>
                <c:pt idx="76">
                  <c:v>6.5278628564545009</c:v>
                </c:pt>
                <c:pt idx="77">
                  <c:v>6.5278628564545009</c:v>
                </c:pt>
                <c:pt idx="78">
                  <c:v>6.5278628564545009</c:v>
                </c:pt>
                <c:pt idx="79">
                  <c:v>6.5278628564545009</c:v>
                </c:pt>
                <c:pt idx="80">
                  <c:v>6.5278628564545009</c:v>
                </c:pt>
                <c:pt idx="81">
                  <c:v>6.5278628564545009</c:v>
                </c:pt>
                <c:pt idx="82">
                  <c:v>6.5278628564545009</c:v>
                </c:pt>
                <c:pt idx="83">
                  <c:v>6.5278628564545009</c:v>
                </c:pt>
                <c:pt idx="84">
                  <c:v>6.5278628564545009</c:v>
                </c:pt>
                <c:pt idx="85">
                  <c:v>6.5278628564545009</c:v>
                </c:pt>
                <c:pt idx="86">
                  <c:v>6.5278628564545009</c:v>
                </c:pt>
                <c:pt idx="87">
                  <c:v>6.5278628564545009</c:v>
                </c:pt>
                <c:pt idx="88">
                  <c:v>6.5278628564545009</c:v>
                </c:pt>
                <c:pt idx="89">
                  <c:v>6.5278628564545009</c:v>
                </c:pt>
                <c:pt idx="90">
                  <c:v>6.5278628564545009</c:v>
                </c:pt>
                <c:pt idx="91">
                  <c:v>6.5278628564545009</c:v>
                </c:pt>
                <c:pt idx="92">
                  <c:v>6.5278628564545009</c:v>
                </c:pt>
                <c:pt idx="93">
                  <c:v>6.5278628564545009</c:v>
                </c:pt>
                <c:pt idx="94">
                  <c:v>6.5278628564545009</c:v>
                </c:pt>
                <c:pt idx="95">
                  <c:v>6.5278628564545009</c:v>
                </c:pt>
                <c:pt idx="96">
                  <c:v>6.5278628564545009</c:v>
                </c:pt>
                <c:pt idx="97">
                  <c:v>6.5278628564545009</c:v>
                </c:pt>
                <c:pt idx="98">
                  <c:v>6.5278628564545009</c:v>
                </c:pt>
                <c:pt idx="99">
                  <c:v>6.5278628564545009</c:v>
                </c:pt>
                <c:pt idx="100">
                  <c:v>6.5278628564545009</c:v>
                </c:pt>
                <c:pt idx="101">
                  <c:v>6.5278628564545009</c:v>
                </c:pt>
                <c:pt idx="102">
                  <c:v>6.5278628564545009</c:v>
                </c:pt>
                <c:pt idx="103">
                  <c:v>6.5278628564545009</c:v>
                </c:pt>
                <c:pt idx="104">
                  <c:v>6.5278628564545009</c:v>
                </c:pt>
                <c:pt idx="105">
                  <c:v>6.5278628564545009</c:v>
                </c:pt>
                <c:pt idx="106">
                  <c:v>6.5278628564545009</c:v>
                </c:pt>
                <c:pt idx="107">
                  <c:v>6.5278628564545009</c:v>
                </c:pt>
                <c:pt idx="108">
                  <c:v>6.5278628564545009</c:v>
                </c:pt>
                <c:pt idx="109">
                  <c:v>6.5278628564545009</c:v>
                </c:pt>
                <c:pt idx="110">
                  <c:v>6.5278628564545009</c:v>
                </c:pt>
                <c:pt idx="111">
                  <c:v>6.5278628564545009</c:v>
                </c:pt>
                <c:pt idx="112">
                  <c:v>6.5278628564545009</c:v>
                </c:pt>
                <c:pt idx="113">
                  <c:v>6.5278628564545009</c:v>
                </c:pt>
                <c:pt idx="114">
                  <c:v>6.5278628564545009</c:v>
                </c:pt>
                <c:pt idx="115">
                  <c:v>6.5278628564545009</c:v>
                </c:pt>
                <c:pt idx="116">
                  <c:v>6.5278628564545009</c:v>
                </c:pt>
                <c:pt idx="117">
                  <c:v>6.5278628564545009</c:v>
                </c:pt>
                <c:pt idx="118">
                  <c:v>6.5278628564545009</c:v>
                </c:pt>
                <c:pt idx="119">
                  <c:v>6.5278628564545009</c:v>
                </c:pt>
                <c:pt idx="120">
                  <c:v>6.5278628564545009</c:v>
                </c:pt>
                <c:pt idx="121">
                  <c:v>6.5278628564545009</c:v>
                </c:pt>
                <c:pt idx="122">
                  <c:v>6.5278628564545009</c:v>
                </c:pt>
                <c:pt idx="123">
                  <c:v>6.5278628564545009</c:v>
                </c:pt>
                <c:pt idx="124">
                  <c:v>6.5278628564545009</c:v>
                </c:pt>
                <c:pt idx="125">
                  <c:v>6.5278628564545009</c:v>
                </c:pt>
                <c:pt idx="126">
                  <c:v>6.5278628564545009</c:v>
                </c:pt>
                <c:pt idx="127">
                  <c:v>6.5278628564545009</c:v>
                </c:pt>
                <c:pt idx="128">
                  <c:v>6.5278628564545009</c:v>
                </c:pt>
                <c:pt idx="129">
                  <c:v>6.5278628564545009</c:v>
                </c:pt>
                <c:pt idx="130">
                  <c:v>6.5278628564545009</c:v>
                </c:pt>
                <c:pt idx="131">
                  <c:v>6.5278628564545009</c:v>
                </c:pt>
                <c:pt idx="132">
                  <c:v>6.5278628564545009</c:v>
                </c:pt>
                <c:pt idx="133">
                  <c:v>6.5278628564545009</c:v>
                </c:pt>
                <c:pt idx="134">
                  <c:v>6.5278628564545009</c:v>
                </c:pt>
                <c:pt idx="135">
                  <c:v>6.5278628564545009</c:v>
                </c:pt>
                <c:pt idx="136">
                  <c:v>6.5278628564545009</c:v>
                </c:pt>
                <c:pt idx="137">
                  <c:v>6.5278628564545009</c:v>
                </c:pt>
                <c:pt idx="138">
                  <c:v>6.5278628564545009</c:v>
                </c:pt>
                <c:pt idx="139">
                  <c:v>6.5278628564545009</c:v>
                </c:pt>
                <c:pt idx="140">
                  <c:v>6.5278628564545009</c:v>
                </c:pt>
                <c:pt idx="141">
                  <c:v>6.5278628564545009</c:v>
                </c:pt>
                <c:pt idx="142">
                  <c:v>6.5278628564545009</c:v>
                </c:pt>
                <c:pt idx="143">
                  <c:v>6.5278628564545009</c:v>
                </c:pt>
                <c:pt idx="144">
                  <c:v>6.5278628564545009</c:v>
                </c:pt>
                <c:pt idx="145">
                  <c:v>6.5278628564545009</c:v>
                </c:pt>
                <c:pt idx="146">
                  <c:v>6.5278628564545009</c:v>
                </c:pt>
                <c:pt idx="147">
                  <c:v>6.5278628564545009</c:v>
                </c:pt>
                <c:pt idx="148">
                  <c:v>6.5278628564545009</c:v>
                </c:pt>
                <c:pt idx="149">
                  <c:v>6.5278628564545009</c:v>
                </c:pt>
                <c:pt idx="150">
                  <c:v>6.5278628564545009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0A-4C19-8E07-4571F0F5EDD9}"/>
            </c:ext>
          </c:extLst>
        </c:ser>
        <c:ser>
          <c:idx val="3"/>
          <c:order val="2"/>
          <c:tx>
            <c:strRef>
              <c:f>'Carta 0'!$W$6</c:f>
              <c:strCache>
                <c:ptCount val="1"/>
                <c:pt idx="0">
                  <c:v>L.A.I.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0'!$R$7:$R$157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0'!$W$7:$W$157</c:f>
              <c:numCache>
                <c:formatCode>0.000</c:formatCode>
                <c:ptCount val="151"/>
                <c:pt idx="0">
                  <c:v>6.2650771435455024</c:v>
                </c:pt>
                <c:pt idx="1">
                  <c:v>6.2650771435455024</c:v>
                </c:pt>
                <c:pt idx="2">
                  <c:v>6.2650771435455024</c:v>
                </c:pt>
                <c:pt idx="3">
                  <c:v>6.2650771435455024</c:v>
                </c:pt>
                <c:pt idx="4">
                  <c:v>6.2650771435455024</c:v>
                </c:pt>
                <c:pt idx="5">
                  <c:v>6.2650771435455024</c:v>
                </c:pt>
                <c:pt idx="6">
                  <c:v>6.2650771435455024</c:v>
                </c:pt>
                <c:pt idx="7">
                  <c:v>6.2650771435455024</c:v>
                </c:pt>
                <c:pt idx="8">
                  <c:v>6.2650771435455024</c:v>
                </c:pt>
                <c:pt idx="9">
                  <c:v>6.2650771435455024</c:v>
                </c:pt>
                <c:pt idx="10">
                  <c:v>6.2650771435455024</c:v>
                </c:pt>
                <c:pt idx="11">
                  <c:v>6.2650771435455024</c:v>
                </c:pt>
                <c:pt idx="12">
                  <c:v>6.2650771435455024</c:v>
                </c:pt>
                <c:pt idx="13">
                  <c:v>6.2650771435455024</c:v>
                </c:pt>
                <c:pt idx="14">
                  <c:v>6.2650771435455024</c:v>
                </c:pt>
                <c:pt idx="15">
                  <c:v>6.2650771435455024</c:v>
                </c:pt>
                <c:pt idx="16">
                  <c:v>6.2650771435455024</c:v>
                </c:pt>
                <c:pt idx="17">
                  <c:v>6.2650771435455024</c:v>
                </c:pt>
                <c:pt idx="18">
                  <c:v>6.2650771435455024</c:v>
                </c:pt>
                <c:pt idx="19">
                  <c:v>6.2650771435455024</c:v>
                </c:pt>
                <c:pt idx="20">
                  <c:v>6.2650771435455024</c:v>
                </c:pt>
                <c:pt idx="21">
                  <c:v>6.2650771435455024</c:v>
                </c:pt>
                <c:pt idx="22">
                  <c:v>6.2650771435455024</c:v>
                </c:pt>
                <c:pt idx="23">
                  <c:v>6.2650771435455024</c:v>
                </c:pt>
                <c:pt idx="24">
                  <c:v>6.2650771435455024</c:v>
                </c:pt>
                <c:pt idx="25">
                  <c:v>6.2650771435455024</c:v>
                </c:pt>
                <c:pt idx="26">
                  <c:v>6.2650771435455024</c:v>
                </c:pt>
                <c:pt idx="27">
                  <c:v>6.2650771435455024</c:v>
                </c:pt>
                <c:pt idx="28">
                  <c:v>6.2650771435455024</c:v>
                </c:pt>
                <c:pt idx="29">
                  <c:v>6.2650771435455024</c:v>
                </c:pt>
                <c:pt idx="30">
                  <c:v>6.2650771435455024</c:v>
                </c:pt>
                <c:pt idx="31">
                  <c:v>6.2650771435455024</c:v>
                </c:pt>
                <c:pt idx="32">
                  <c:v>6.2650771435455024</c:v>
                </c:pt>
                <c:pt idx="33">
                  <c:v>6.2650771435455024</c:v>
                </c:pt>
                <c:pt idx="34">
                  <c:v>6.2650771435455024</c:v>
                </c:pt>
                <c:pt idx="35">
                  <c:v>6.2650771435455024</c:v>
                </c:pt>
                <c:pt idx="36">
                  <c:v>6.2650771435455024</c:v>
                </c:pt>
                <c:pt idx="37">
                  <c:v>6.2650771435455024</c:v>
                </c:pt>
                <c:pt idx="38">
                  <c:v>6.2650771435455024</c:v>
                </c:pt>
                <c:pt idx="39">
                  <c:v>6.2650771435455024</c:v>
                </c:pt>
                <c:pt idx="40">
                  <c:v>6.2650771435455024</c:v>
                </c:pt>
                <c:pt idx="41">
                  <c:v>6.2650771435455024</c:v>
                </c:pt>
                <c:pt idx="42">
                  <c:v>6.2650771435455024</c:v>
                </c:pt>
                <c:pt idx="43">
                  <c:v>6.2650771435455024</c:v>
                </c:pt>
                <c:pt idx="44">
                  <c:v>6.2650771435455024</c:v>
                </c:pt>
                <c:pt idx="45">
                  <c:v>6.2650771435455024</c:v>
                </c:pt>
                <c:pt idx="46">
                  <c:v>6.2650771435455024</c:v>
                </c:pt>
                <c:pt idx="47">
                  <c:v>6.2650771435455024</c:v>
                </c:pt>
                <c:pt idx="48">
                  <c:v>6.2650771435455024</c:v>
                </c:pt>
                <c:pt idx="49">
                  <c:v>6.2650771435455024</c:v>
                </c:pt>
                <c:pt idx="50">
                  <c:v>6.2650771435455024</c:v>
                </c:pt>
                <c:pt idx="51">
                  <c:v>6.2650771435455024</c:v>
                </c:pt>
                <c:pt idx="52">
                  <c:v>6.2650771435455024</c:v>
                </c:pt>
                <c:pt idx="53">
                  <c:v>6.2650771435455024</c:v>
                </c:pt>
                <c:pt idx="54">
                  <c:v>6.2650771435455024</c:v>
                </c:pt>
                <c:pt idx="55">
                  <c:v>6.2650771435455024</c:v>
                </c:pt>
                <c:pt idx="56">
                  <c:v>6.2650771435455024</c:v>
                </c:pt>
                <c:pt idx="57">
                  <c:v>6.2650771435455024</c:v>
                </c:pt>
                <c:pt idx="58">
                  <c:v>6.2650771435455024</c:v>
                </c:pt>
                <c:pt idx="59">
                  <c:v>6.2650771435455024</c:v>
                </c:pt>
                <c:pt idx="60">
                  <c:v>6.2650771435455024</c:v>
                </c:pt>
                <c:pt idx="61">
                  <c:v>6.2650771435455024</c:v>
                </c:pt>
                <c:pt idx="62">
                  <c:v>6.2650771435455024</c:v>
                </c:pt>
                <c:pt idx="63">
                  <c:v>6.2650771435455024</c:v>
                </c:pt>
                <c:pt idx="64">
                  <c:v>6.2650771435455024</c:v>
                </c:pt>
                <c:pt idx="65">
                  <c:v>6.2650771435455024</c:v>
                </c:pt>
                <c:pt idx="66">
                  <c:v>6.2650771435455024</c:v>
                </c:pt>
                <c:pt idx="67">
                  <c:v>6.2650771435455024</c:v>
                </c:pt>
                <c:pt idx="68">
                  <c:v>6.2650771435455024</c:v>
                </c:pt>
                <c:pt idx="69">
                  <c:v>6.2650771435455024</c:v>
                </c:pt>
                <c:pt idx="70">
                  <c:v>6.2650771435455024</c:v>
                </c:pt>
                <c:pt idx="71">
                  <c:v>6.2650771435455024</c:v>
                </c:pt>
                <c:pt idx="72">
                  <c:v>6.2650771435455024</c:v>
                </c:pt>
                <c:pt idx="73">
                  <c:v>6.2650771435455024</c:v>
                </c:pt>
                <c:pt idx="74">
                  <c:v>6.2650771435455024</c:v>
                </c:pt>
                <c:pt idx="75">
                  <c:v>6.2650771435455024</c:v>
                </c:pt>
                <c:pt idx="76">
                  <c:v>6.2650771435455024</c:v>
                </c:pt>
                <c:pt idx="77">
                  <c:v>6.2650771435455024</c:v>
                </c:pt>
                <c:pt idx="78">
                  <c:v>6.2650771435455024</c:v>
                </c:pt>
                <c:pt idx="79">
                  <c:v>6.2650771435455024</c:v>
                </c:pt>
                <c:pt idx="80">
                  <c:v>6.2650771435455024</c:v>
                </c:pt>
                <c:pt idx="81">
                  <c:v>6.2650771435455024</c:v>
                </c:pt>
                <c:pt idx="82">
                  <c:v>6.2650771435455024</c:v>
                </c:pt>
                <c:pt idx="83">
                  <c:v>6.2650771435455024</c:v>
                </c:pt>
                <c:pt idx="84">
                  <c:v>6.2650771435455024</c:v>
                </c:pt>
                <c:pt idx="85">
                  <c:v>6.2650771435455024</c:v>
                </c:pt>
                <c:pt idx="86">
                  <c:v>6.2650771435455024</c:v>
                </c:pt>
                <c:pt idx="87">
                  <c:v>6.2650771435455024</c:v>
                </c:pt>
                <c:pt idx="88">
                  <c:v>6.2650771435455024</c:v>
                </c:pt>
                <c:pt idx="89">
                  <c:v>6.2650771435455024</c:v>
                </c:pt>
                <c:pt idx="90">
                  <c:v>6.2650771435455024</c:v>
                </c:pt>
                <c:pt idx="91">
                  <c:v>6.2650771435455024</c:v>
                </c:pt>
                <c:pt idx="92">
                  <c:v>6.2650771435455024</c:v>
                </c:pt>
                <c:pt idx="93">
                  <c:v>6.2650771435455024</c:v>
                </c:pt>
                <c:pt idx="94">
                  <c:v>6.2650771435455024</c:v>
                </c:pt>
                <c:pt idx="95">
                  <c:v>6.2650771435455024</c:v>
                </c:pt>
                <c:pt idx="96">
                  <c:v>6.2650771435455024</c:v>
                </c:pt>
                <c:pt idx="97">
                  <c:v>6.2650771435455024</c:v>
                </c:pt>
                <c:pt idx="98">
                  <c:v>6.2650771435455024</c:v>
                </c:pt>
                <c:pt idx="99">
                  <c:v>6.2650771435455024</c:v>
                </c:pt>
                <c:pt idx="100">
                  <c:v>6.2650771435455024</c:v>
                </c:pt>
                <c:pt idx="101">
                  <c:v>6.2650771435455024</c:v>
                </c:pt>
                <c:pt idx="102">
                  <c:v>6.2650771435455024</c:v>
                </c:pt>
                <c:pt idx="103">
                  <c:v>6.2650771435455024</c:v>
                </c:pt>
                <c:pt idx="104">
                  <c:v>6.2650771435455024</c:v>
                </c:pt>
                <c:pt idx="105">
                  <c:v>6.2650771435455024</c:v>
                </c:pt>
                <c:pt idx="106">
                  <c:v>6.2650771435455024</c:v>
                </c:pt>
                <c:pt idx="107">
                  <c:v>6.2650771435455024</c:v>
                </c:pt>
                <c:pt idx="108">
                  <c:v>6.2650771435455024</c:v>
                </c:pt>
                <c:pt idx="109">
                  <c:v>6.2650771435455024</c:v>
                </c:pt>
                <c:pt idx="110">
                  <c:v>6.2650771435455024</c:v>
                </c:pt>
                <c:pt idx="111">
                  <c:v>6.2650771435455024</c:v>
                </c:pt>
                <c:pt idx="112">
                  <c:v>6.2650771435455024</c:v>
                </c:pt>
                <c:pt idx="113">
                  <c:v>6.2650771435455024</c:v>
                </c:pt>
                <c:pt idx="114">
                  <c:v>6.2650771435455024</c:v>
                </c:pt>
                <c:pt idx="115">
                  <c:v>6.2650771435455024</c:v>
                </c:pt>
                <c:pt idx="116">
                  <c:v>6.2650771435455024</c:v>
                </c:pt>
                <c:pt idx="117">
                  <c:v>6.2650771435455024</c:v>
                </c:pt>
                <c:pt idx="118">
                  <c:v>6.2650771435455024</c:v>
                </c:pt>
                <c:pt idx="119">
                  <c:v>6.2650771435455024</c:v>
                </c:pt>
                <c:pt idx="120">
                  <c:v>6.2650771435455024</c:v>
                </c:pt>
                <c:pt idx="121">
                  <c:v>6.2650771435455024</c:v>
                </c:pt>
                <c:pt idx="122">
                  <c:v>6.2650771435455024</c:v>
                </c:pt>
                <c:pt idx="123">
                  <c:v>6.2650771435455024</c:v>
                </c:pt>
                <c:pt idx="124">
                  <c:v>6.2650771435455024</c:v>
                </c:pt>
                <c:pt idx="125">
                  <c:v>6.2650771435455024</c:v>
                </c:pt>
                <c:pt idx="126">
                  <c:v>6.2650771435455024</c:v>
                </c:pt>
                <c:pt idx="127">
                  <c:v>6.2650771435455024</c:v>
                </c:pt>
                <c:pt idx="128">
                  <c:v>6.2650771435455024</c:v>
                </c:pt>
                <c:pt idx="129">
                  <c:v>6.2650771435455024</c:v>
                </c:pt>
                <c:pt idx="130">
                  <c:v>6.2650771435455024</c:v>
                </c:pt>
                <c:pt idx="131">
                  <c:v>6.2650771435455024</c:v>
                </c:pt>
                <c:pt idx="132">
                  <c:v>6.2650771435455024</c:v>
                </c:pt>
                <c:pt idx="133">
                  <c:v>6.2650771435455024</c:v>
                </c:pt>
                <c:pt idx="134">
                  <c:v>6.2650771435455024</c:v>
                </c:pt>
                <c:pt idx="135">
                  <c:v>6.2650771435455024</c:v>
                </c:pt>
                <c:pt idx="136">
                  <c:v>6.2650771435455024</c:v>
                </c:pt>
                <c:pt idx="137">
                  <c:v>6.2650771435455024</c:v>
                </c:pt>
                <c:pt idx="138">
                  <c:v>6.2650771435455024</c:v>
                </c:pt>
                <c:pt idx="139">
                  <c:v>6.2650771435455024</c:v>
                </c:pt>
                <c:pt idx="140">
                  <c:v>6.2650771435455024</c:v>
                </c:pt>
                <c:pt idx="141">
                  <c:v>6.2650771435455024</c:v>
                </c:pt>
                <c:pt idx="142">
                  <c:v>6.2650771435455024</c:v>
                </c:pt>
                <c:pt idx="143">
                  <c:v>6.2650771435455024</c:v>
                </c:pt>
                <c:pt idx="144">
                  <c:v>6.2650771435455024</c:v>
                </c:pt>
                <c:pt idx="145">
                  <c:v>6.2650771435455024</c:v>
                </c:pt>
                <c:pt idx="146">
                  <c:v>6.2650771435455024</c:v>
                </c:pt>
                <c:pt idx="147">
                  <c:v>6.2650771435455024</c:v>
                </c:pt>
                <c:pt idx="148">
                  <c:v>6.2650771435455024</c:v>
                </c:pt>
                <c:pt idx="149">
                  <c:v>6.2650771435455024</c:v>
                </c:pt>
                <c:pt idx="150">
                  <c:v>6.2650771435455024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0A-4C19-8E07-4571F0F5EDD9}"/>
            </c:ext>
          </c:extLst>
        </c:ser>
        <c:ser>
          <c:idx val="4"/>
          <c:order val="3"/>
          <c:tx>
            <c:strRef>
              <c:f>'Carta 0'!$X$6</c:f>
              <c:strCache>
                <c:ptCount val="1"/>
                <c:pt idx="0">
                  <c:v>L.D.S.</c:v>
                </c:pt>
              </c:strCache>
            </c:strRef>
          </c:tx>
          <c:spPr>
            <a:ln w="19050" cap="rnd">
              <a:solidFill>
                <a:srgbClr val="FFFF00">
                  <a:alpha val="8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0'!$R$7:$R$157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0'!$X$7:$X$157</c:f>
              <c:numCache>
                <c:formatCode>0.000</c:formatCode>
                <c:ptCount val="151"/>
                <c:pt idx="0">
                  <c:v>6.4840652376363348</c:v>
                </c:pt>
                <c:pt idx="1">
                  <c:v>6.4840652376363348</c:v>
                </c:pt>
                <c:pt idx="2">
                  <c:v>6.4840652376363348</c:v>
                </c:pt>
                <c:pt idx="3">
                  <c:v>6.4840652376363348</c:v>
                </c:pt>
                <c:pt idx="4">
                  <c:v>6.4840652376363348</c:v>
                </c:pt>
                <c:pt idx="5">
                  <c:v>6.4840652376363348</c:v>
                </c:pt>
                <c:pt idx="6">
                  <c:v>6.4840652376363348</c:v>
                </c:pt>
                <c:pt idx="7">
                  <c:v>6.4840652376363348</c:v>
                </c:pt>
                <c:pt idx="8">
                  <c:v>6.4840652376363348</c:v>
                </c:pt>
                <c:pt idx="9">
                  <c:v>6.4840652376363348</c:v>
                </c:pt>
                <c:pt idx="10">
                  <c:v>6.4840652376363348</c:v>
                </c:pt>
                <c:pt idx="11">
                  <c:v>6.4840652376363348</c:v>
                </c:pt>
                <c:pt idx="12">
                  <c:v>6.4840652376363348</c:v>
                </c:pt>
                <c:pt idx="13">
                  <c:v>6.4840652376363348</c:v>
                </c:pt>
                <c:pt idx="14">
                  <c:v>6.4840652376363348</c:v>
                </c:pt>
                <c:pt idx="15">
                  <c:v>6.4840652376363348</c:v>
                </c:pt>
                <c:pt idx="16">
                  <c:v>6.4840652376363348</c:v>
                </c:pt>
                <c:pt idx="17">
                  <c:v>6.4840652376363348</c:v>
                </c:pt>
                <c:pt idx="18">
                  <c:v>6.4840652376363348</c:v>
                </c:pt>
                <c:pt idx="19">
                  <c:v>6.4840652376363348</c:v>
                </c:pt>
                <c:pt idx="20">
                  <c:v>6.4840652376363348</c:v>
                </c:pt>
                <c:pt idx="21">
                  <c:v>6.4840652376363348</c:v>
                </c:pt>
                <c:pt idx="22">
                  <c:v>6.4840652376363348</c:v>
                </c:pt>
                <c:pt idx="23">
                  <c:v>6.4840652376363348</c:v>
                </c:pt>
                <c:pt idx="24">
                  <c:v>6.4840652376363348</c:v>
                </c:pt>
                <c:pt idx="25">
                  <c:v>6.4840652376363348</c:v>
                </c:pt>
                <c:pt idx="26">
                  <c:v>6.4840652376363348</c:v>
                </c:pt>
                <c:pt idx="27">
                  <c:v>6.4840652376363348</c:v>
                </c:pt>
                <c:pt idx="28">
                  <c:v>6.4840652376363348</c:v>
                </c:pt>
                <c:pt idx="29">
                  <c:v>6.4840652376363348</c:v>
                </c:pt>
                <c:pt idx="30">
                  <c:v>6.4840652376363348</c:v>
                </c:pt>
                <c:pt idx="31">
                  <c:v>6.4840652376363348</c:v>
                </c:pt>
                <c:pt idx="32">
                  <c:v>6.4840652376363348</c:v>
                </c:pt>
                <c:pt idx="33">
                  <c:v>6.4840652376363348</c:v>
                </c:pt>
                <c:pt idx="34">
                  <c:v>6.4840652376363348</c:v>
                </c:pt>
                <c:pt idx="35">
                  <c:v>6.4840652376363348</c:v>
                </c:pt>
                <c:pt idx="36">
                  <c:v>6.4840652376363348</c:v>
                </c:pt>
                <c:pt idx="37">
                  <c:v>6.4840652376363348</c:v>
                </c:pt>
                <c:pt idx="38">
                  <c:v>6.4840652376363348</c:v>
                </c:pt>
                <c:pt idx="39">
                  <c:v>6.4840652376363348</c:v>
                </c:pt>
                <c:pt idx="40">
                  <c:v>6.4840652376363348</c:v>
                </c:pt>
                <c:pt idx="41">
                  <c:v>6.4840652376363348</c:v>
                </c:pt>
                <c:pt idx="42">
                  <c:v>6.4840652376363348</c:v>
                </c:pt>
                <c:pt idx="43">
                  <c:v>6.4840652376363348</c:v>
                </c:pt>
                <c:pt idx="44">
                  <c:v>6.4840652376363348</c:v>
                </c:pt>
                <c:pt idx="45">
                  <c:v>6.4840652376363348</c:v>
                </c:pt>
                <c:pt idx="46">
                  <c:v>6.4840652376363348</c:v>
                </c:pt>
                <c:pt idx="47">
                  <c:v>6.4840652376363348</c:v>
                </c:pt>
                <c:pt idx="48">
                  <c:v>6.4840652376363348</c:v>
                </c:pt>
                <c:pt idx="49">
                  <c:v>6.4840652376363348</c:v>
                </c:pt>
                <c:pt idx="50">
                  <c:v>6.4840652376363348</c:v>
                </c:pt>
                <c:pt idx="51">
                  <c:v>6.4840652376363348</c:v>
                </c:pt>
                <c:pt idx="52">
                  <c:v>6.4840652376363348</c:v>
                </c:pt>
                <c:pt idx="53">
                  <c:v>6.4840652376363348</c:v>
                </c:pt>
                <c:pt idx="54">
                  <c:v>6.4840652376363348</c:v>
                </c:pt>
                <c:pt idx="55">
                  <c:v>6.4840652376363348</c:v>
                </c:pt>
                <c:pt idx="56">
                  <c:v>6.4840652376363348</c:v>
                </c:pt>
                <c:pt idx="57">
                  <c:v>6.4840652376363348</c:v>
                </c:pt>
                <c:pt idx="58">
                  <c:v>6.4840652376363348</c:v>
                </c:pt>
                <c:pt idx="59">
                  <c:v>6.4840652376363348</c:v>
                </c:pt>
                <c:pt idx="60">
                  <c:v>6.4840652376363348</c:v>
                </c:pt>
                <c:pt idx="61">
                  <c:v>6.4840652376363348</c:v>
                </c:pt>
                <c:pt idx="62">
                  <c:v>6.4840652376363348</c:v>
                </c:pt>
                <c:pt idx="63">
                  <c:v>6.4840652376363348</c:v>
                </c:pt>
                <c:pt idx="64">
                  <c:v>6.4840652376363348</c:v>
                </c:pt>
                <c:pt idx="65">
                  <c:v>6.4840652376363348</c:v>
                </c:pt>
                <c:pt idx="66">
                  <c:v>6.4840652376363348</c:v>
                </c:pt>
                <c:pt idx="67">
                  <c:v>6.4840652376363348</c:v>
                </c:pt>
                <c:pt idx="68">
                  <c:v>6.4840652376363348</c:v>
                </c:pt>
                <c:pt idx="69">
                  <c:v>6.4840652376363348</c:v>
                </c:pt>
                <c:pt idx="70">
                  <c:v>6.4840652376363348</c:v>
                </c:pt>
                <c:pt idx="71">
                  <c:v>6.4840652376363348</c:v>
                </c:pt>
                <c:pt idx="72">
                  <c:v>6.4840652376363348</c:v>
                </c:pt>
                <c:pt idx="73">
                  <c:v>6.4840652376363348</c:v>
                </c:pt>
                <c:pt idx="74">
                  <c:v>6.4840652376363348</c:v>
                </c:pt>
                <c:pt idx="75">
                  <c:v>6.4840652376363348</c:v>
                </c:pt>
                <c:pt idx="76">
                  <c:v>6.4840652376363348</c:v>
                </c:pt>
                <c:pt idx="77">
                  <c:v>6.4840652376363348</c:v>
                </c:pt>
                <c:pt idx="78">
                  <c:v>6.4840652376363348</c:v>
                </c:pt>
                <c:pt idx="79">
                  <c:v>6.4840652376363348</c:v>
                </c:pt>
                <c:pt idx="80">
                  <c:v>6.4840652376363348</c:v>
                </c:pt>
                <c:pt idx="81">
                  <c:v>6.4840652376363348</c:v>
                </c:pt>
                <c:pt idx="82">
                  <c:v>6.4840652376363348</c:v>
                </c:pt>
                <c:pt idx="83">
                  <c:v>6.4840652376363348</c:v>
                </c:pt>
                <c:pt idx="84">
                  <c:v>6.4840652376363348</c:v>
                </c:pt>
                <c:pt idx="85">
                  <c:v>6.4840652376363348</c:v>
                </c:pt>
                <c:pt idx="86">
                  <c:v>6.4840652376363348</c:v>
                </c:pt>
                <c:pt idx="87">
                  <c:v>6.4840652376363348</c:v>
                </c:pt>
                <c:pt idx="88">
                  <c:v>6.4840652376363348</c:v>
                </c:pt>
                <c:pt idx="89">
                  <c:v>6.4840652376363348</c:v>
                </c:pt>
                <c:pt idx="90">
                  <c:v>6.4840652376363348</c:v>
                </c:pt>
                <c:pt idx="91">
                  <c:v>6.4840652376363348</c:v>
                </c:pt>
                <c:pt idx="92">
                  <c:v>6.4840652376363348</c:v>
                </c:pt>
                <c:pt idx="93">
                  <c:v>6.4840652376363348</c:v>
                </c:pt>
                <c:pt idx="94">
                  <c:v>6.4840652376363348</c:v>
                </c:pt>
                <c:pt idx="95">
                  <c:v>6.4840652376363348</c:v>
                </c:pt>
                <c:pt idx="96">
                  <c:v>6.4840652376363348</c:v>
                </c:pt>
                <c:pt idx="97">
                  <c:v>6.4840652376363348</c:v>
                </c:pt>
                <c:pt idx="98">
                  <c:v>6.4840652376363348</c:v>
                </c:pt>
                <c:pt idx="99">
                  <c:v>6.4840652376363348</c:v>
                </c:pt>
                <c:pt idx="100">
                  <c:v>6.4840652376363348</c:v>
                </c:pt>
                <c:pt idx="101">
                  <c:v>6.4840652376363348</c:v>
                </c:pt>
                <c:pt idx="102">
                  <c:v>6.4840652376363348</c:v>
                </c:pt>
                <c:pt idx="103">
                  <c:v>6.4840652376363348</c:v>
                </c:pt>
                <c:pt idx="104">
                  <c:v>6.4840652376363348</c:v>
                </c:pt>
                <c:pt idx="105">
                  <c:v>6.4840652376363348</c:v>
                </c:pt>
                <c:pt idx="106">
                  <c:v>6.4840652376363348</c:v>
                </c:pt>
                <c:pt idx="107">
                  <c:v>6.4840652376363348</c:v>
                </c:pt>
                <c:pt idx="108">
                  <c:v>6.4840652376363348</c:v>
                </c:pt>
                <c:pt idx="109">
                  <c:v>6.4840652376363348</c:v>
                </c:pt>
                <c:pt idx="110">
                  <c:v>6.4840652376363348</c:v>
                </c:pt>
                <c:pt idx="111">
                  <c:v>6.4840652376363348</c:v>
                </c:pt>
                <c:pt idx="112">
                  <c:v>6.4840652376363348</c:v>
                </c:pt>
                <c:pt idx="113">
                  <c:v>6.4840652376363348</c:v>
                </c:pt>
                <c:pt idx="114">
                  <c:v>6.4840652376363348</c:v>
                </c:pt>
                <c:pt idx="115">
                  <c:v>6.4840652376363348</c:v>
                </c:pt>
                <c:pt idx="116">
                  <c:v>6.4840652376363348</c:v>
                </c:pt>
                <c:pt idx="117">
                  <c:v>6.4840652376363348</c:v>
                </c:pt>
                <c:pt idx="118">
                  <c:v>6.4840652376363348</c:v>
                </c:pt>
                <c:pt idx="119">
                  <c:v>6.4840652376363348</c:v>
                </c:pt>
                <c:pt idx="120">
                  <c:v>6.4840652376363348</c:v>
                </c:pt>
                <c:pt idx="121">
                  <c:v>6.4840652376363348</c:v>
                </c:pt>
                <c:pt idx="122">
                  <c:v>6.4840652376363348</c:v>
                </c:pt>
                <c:pt idx="123">
                  <c:v>6.4840652376363348</c:v>
                </c:pt>
                <c:pt idx="124">
                  <c:v>6.4840652376363348</c:v>
                </c:pt>
                <c:pt idx="125">
                  <c:v>6.4840652376363348</c:v>
                </c:pt>
                <c:pt idx="126">
                  <c:v>6.4840652376363348</c:v>
                </c:pt>
                <c:pt idx="127">
                  <c:v>6.4840652376363348</c:v>
                </c:pt>
                <c:pt idx="128">
                  <c:v>6.4840652376363348</c:v>
                </c:pt>
                <c:pt idx="129">
                  <c:v>6.4840652376363348</c:v>
                </c:pt>
                <c:pt idx="130">
                  <c:v>6.4840652376363348</c:v>
                </c:pt>
                <c:pt idx="131">
                  <c:v>6.4840652376363348</c:v>
                </c:pt>
                <c:pt idx="132">
                  <c:v>6.4840652376363348</c:v>
                </c:pt>
                <c:pt idx="133">
                  <c:v>6.4840652376363348</c:v>
                </c:pt>
                <c:pt idx="134">
                  <c:v>6.4840652376363348</c:v>
                </c:pt>
                <c:pt idx="135">
                  <c:v>6.4840652376363348</c:v>
                </c:pt>
                <c:pt idx="136">
                  <c:v>6.4840652376363348</c:v>
                </c:pt>
                <c:pt idx="137">
                  <c:v>6.4840652376363348</c:v>
                </c:pt>
                <c:pt idx="138">
                  <c:v>6.4840652376363348</c:v>
                </c:pt>
                <c:pt idx="139">
                  <c:v>6.4840652376363348</c:v>
                </c:pt>
                <c:pt idx="140">
                  <c:v>6.4840652376363348</c:v>
                </c:pt>
                <c:pt idx="141">
                  <c:v>6.4840652376363348</c:v>
                </c:pt>
                <c:pt idx="142">
                  <c:v>6.4840652376363348</c:v>
                </c:pt>
                <c:pt idx="143">
                  <c:v>6.4840652376363348</c:v>
                </c:pt>
                <c:pt idx="144">
                  <c:v>6.4840652376363348</c:v>
                </c:pt>
                <c:pt idx="145">
                  <c:v>6.4840652376363348</c:v>
                </c:pt>
                <c:pt idx="146">
                  <c:v>6.4840652376363348</c:v>
                </c:pt>
                <c:pt idx="147">
                  <c:v>6.4840652376363348</c:v>
                </c:pt>
                <c:pt idx="148">
                  <c:v>6.4840652376363348</c:v>
                </c:pt>
                <c:pt idx="149">
                  <c:v>6.4840652376363348</c:v>
                </c:pt>
                <c:pt idx="150">
                  <c:v>6.4840652376363348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0A-4C19-8E07-4571F0F5EDD9}"/>
            </c:ext>
          </c:extLst>
        </c:ser>
        <c:ser>
          <c:idx val="5"/>
          <c:order val="4"/>
          <c:tx>
            <c:strRef>
              <c:f>'Carta 0'!$Y$6</c:f>
              <c:strCache>
                <c:ptCount val="1"/>
                <c:pt idx="0">
                  <c:v>L.D.I.</c:v>
                </c:pt>
              </c:strCache>
            </c:strRef>
          </c:tx>
          <c:spPr>
            <a:ln w="19050" cap="rnd">
              <a:solidFill>
                <a:srgbClr val="FFFF00">
                  <a:alpha val="8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0'!$R$7:$R$157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0'!$Y$7:$Y$157</c:f>
              <c:numCache>
                <c:formatCode>0.000</c:formatCode>
                <c:ptCount val="151"/>
                <c:pt idx="0">
                  <c:v>6.3088747623636685</c:v>
                </c:pt>
                <c:pt idx="1">
                  <c:v>6.3088747623636685</c:v>
                </c:pt>
                <c:pt idx="2">
                  <c:v>6.3088747623636685</c:v>
                </c:pt>
                <c:pt idx="3">
                  <c:v>6.3088747623636685</c:v>
                </c:pt>
                <c:pt idx="4">
                  <c:v>6.3088747623636685</c:v>
                </c:pt>
                <c:pt idx="5">
                  <c:v>6.3088747623636685</c:v>
                </c:pt>
                <c:pt idx="6">
                  <c:v>6.3088747623636685</c:v>
                </c:pt>
                <c:pt idx="7">
                  <c:v>6.3088747623636685</c:v>
                </c:pt>
                <c:pt idx="8">
                  <c:v>6.3088747623636685</c:v>
                </c:pt>
                <c:pt idx="9">
                  <c:v>6.3088747623636685</c:v>
                </c:pt>
                <c:pt idx="10">
                  <c:v>6.3088747623636685</c:v>
                </c:pt>
                <c:pt idx="11">
                  <c:v>6.3088747623636685</c:v>
                </c:pt>
                <c:pt idx="12">
                  <c:v>6.3088747623636685</c:v>
                </c:pt>
                <c:pt idx="13">
                  <c:v>6.3088747623636685</c:v>
                </c:pt>
                <c:pt idx="14">
                  <c:v>6.3088747623636685</c:v>
                </c:pt>
                <c:pt idx="15">
                  <c:v>6.3088747623636685</c:v>
                </c:pt>
                <c:pt idx="16">
                  <c:v>6.3088747623636685</c:v>
                </c:pt>
                <c:pt idx="17">
                  <c:v>6.3088747623636685</c:v>
                </c:pt>
                <c:pt idx="18">
                  <c:v>6.3088747623636685</c:v>
                </c:pt>
                <c:pt idx="19">
                  <c:v>6.3088747623636685</c:v>
                </c:pt>
                <c:pt idx="20">
                  <c:v>6.3088747623636685</c:v>
                </c:pt>
                <c:pt idx="21">
                  <c:v>6.3088747623636685</c:v>
                </c:pt>
                <c:pt idx="22">
                  <c:v>6.3088747623636685</c:v>
                </c:pt>
                <c:pt idx="23">
                  <c:v>6.3088747623636685</c:v>
                </c:pt>
                <c:pt idx="24">
                  <c:v>6.3088747623636685</c:v>
                </c:pt>
                <c:pt idx="25">
                  <c:v>6.3088747623636685</c:v>
                </c:pt>
                <c:pt idx="26">
                  <c:v>6.3088747623636685</c:v>
                </c:pt>
                <c:pt idx="27">
                  <c:v>6.3088747623636685</c:v>
                </c:pt>
                <c:pt idx="28">
                  <c:v>6.3088747623636685</c:v>
                </c:pt>
                <c:pt idx="29">
                  <c:v>6.3088747623636685</c:v>
                </c:pt>
                <c:pt idx="30">
                  <c:v>6.3088747623636685</c:v>
                </c:pt>
                <c:pt idx="31">
                  <c:v>6.3088747623636685</c:v>
                </c:pt>
                <c:pt idx="32">
                  <c:v>6.3088747623636685</c:v>
                </c:pt>
                <c:pt idx="33">
                  <c:v>6.3088747623636685</c:v>
                </c:pt>
                <c:pt idx="34">
                  <c:v>6.3088747623636685</c:v>
                </c:pt>
                <c:pt idx="35">
                  <c:v>6.3088747623636685</c:v>
                </c:pt>
                <c:pt idx="36">
                  <c:v>6.3088747623636685</c:v>
                </c:pt>
                <c:pt idx="37">
                  <c:v>6.3088747623636685</c:v>
                </c:pt>
                <c:pt idx="38">
                  <c:v>6.3088747623636685</c:v>
                </c:pt>
                <c:pt idx="39">
                  <c:v>6.3088747623636685</c:v>
                </c:pt>
                <c:pt idx="40">
                  <c:v>6.3088747623636685</c:v>
                </c:pt>
                <c:pt idx="41">
                  <c:v>6.3088747623636685</c:v>
                </c:pt>
                <c:pt idx="42">
                  <c:v>6.3088747623636685</c:v>
                </c:pt>
                <c:pt idx="43">
                  <c:v>6.3088747623636685</c:v>
                </c:pt>
                <c:pt idx="44">
                  <c:v>6.3088747623636685</c:v>
                </c:pt>
                <c:pt idx="45">
                  <c:v>6.3088747623636685</c:v>
                </c:pt>
                <c:pt idx="46">
                  <c:v>6.3088747623636685</c:v>
                </c:pt>
                <c:pt idx="47">
                  <c:v>6.3088747623636685</c:v>
                </c:pt>
                <c:pt idx="48">
                  <c:v>6.3088747623636685</c:v>
                </c:pt>
                <c:pt idx="49">
                  <c:v>6.3088747623636685</c:v>
                </c:pt>
                <c:pt idx="50">
                  <c:v>6.3088747623636685</c:v>
                </c:pt>
                <c:pt idx="51">
                  <c:v>6.3088747623636685</c:v>
                </c:pt>
                <c:pt idx="52">
                  <c:v>6.3088747623636685</c:v>
                </c:pt>
                <c:pt idx="53">
                  <c:v>6.3088747623636685</c:v>
                </c:pt>
                <c:pt idx="54">
                  <c:v>6.3088747623636685</c:v>
                </c:pt>
                <c:pt idx="55">
                  <c:v>6.3088747623636685</c:v>
                </c:pt>
                <c:pt idx="56">
                  <c:v>6.3088747623636685</c:v>
                </c:pt>
                <c:pt idx="57">
                  <c:v>6.3088747623636685</c:v>
                </c:pt>
                <c:pt idx="58">
                  <c:v>6.3088747623636685</c:v>
                </c:pt>
                <c:pt idx="59">
                  <c:v>6.3088747623636685</c:v>
                </c:pt>
                <c:pt idx="60">
                  <c:v>6.3088747623636685</c:v>
                </c:pt>
                <c:pt idx="61">
                  <c:v>6.3088747623636685</c:v>
                </c:pt>
                <c:pt idx="62">
                  <c:v>6.3088747623636685</c:v>
                </c:pt>
                <c:pt idx="63">
                  <c:v>6.3088747623636685</c:v>
                </c:pt>
                <c:pt idx="64">
                  <c:v>6.3088747623636685</c:v>
                </c:pt>
                <c:pt idx="65">
                  <c:v>6.3088747623636685</c:v>
                </c:pt>
                <c:pt idx="66">
                  <c:v>6.3088747623636685</c:v>
                </c:pt>
                <c:pt idx="67">
                  <c:v>6.3088747623636685</c:v>
                </c:pt>
                <c:pt idx="68">
                  <c:v>6.3088747623636685</c:v>
                </c:pt>
                <c:pt idx="69">
                  <c:v>6.3088747623636685</c:v>
                </c:pt>
                <c:pt idx="70">
                  <c:v>6.3088747623636685</c:v>
                </c:pt>
                <c:pt idx="71">
                  <c:v>6.3088747623636685</c:v>
                </c:pt>
                <c:pt idx="72">
                  <c:v>6.3088747623636685</c:v>
                </c:pt>
                <c:pt idx="73">
                  <c:v>6.3088747623636685</c:v>
                </c:pt>
                <c:pt idx="74">
                  <c:v>6.3088747623636685</c:v>
                </c:pt>
                <c:pt idx="75">
                  <c:v>6.3088747623636685</c:v>
                </c:pt>
                <c:pt idx="76">
                  <c:v>6.3088747623636685</c:v>
                </c:pt>
                <c:pt idx="77">
                  <c:v>6.3088747623636685</c:v>
                </c:pt>
                <c:pt idx="78">
                  <c:v>6.3088747623636685</c:v>
                </c:pt>
                <c:pt idx="79">
                  <c:v>6.3088747623636685</c:v>
                </c:pt>
                <c:pt idx="80">
                  <c:v>6.3088747623636685</c:v>
                </c:pt>
                <c:pt idx="81">
                  <c:v>6.3088747623636685</c:v>
                </c:pt>
                <c:pt idx="82">
                  <c:v>6.3088747623636685</c:v>
                </c:pt>
                <c:pt idx="83">
                  <c:v>6.3088747623636685</c:v>
                </c:pt>
                <c:pt idx="84">
                  <c:v>6.3088747623636685</c:v>
                </c:pt>
                <c:pt idx="85">
                  <c:v>6.3088747623636685</c:v>
                </c:pt>
                <c:pt idx="86">
                  <c:v>6.3088747623636685</c:v>
                </c:pt>
                <c:pt idx="87">
                  <c:v>6.3088747623636685</c:v>
                </c:pt>
                <c:pt idx="88">
                  <c:v>6.3088747623636685</c:v>
                </c:pt>
                <c:pt idx="89">
                  <c:v>6.3088747623636685</c:v>
                </c:pt>
                <c:pt idx="90">
                  <c:v>6.3088747623636685</c:v>
                </c:pt>
                <c:pt idx="91">
                  <c:v>6.3088747623636685</c:v>
                </c:pt>
                <c:pt idx="92">
                  <c:v>6.3088747623636685</c:v>
                </c:pt>
                <c:pt idx="93">
                  <c:v>6.3088747623636685</c:v>
                </c:pt>
                <c:pt idx="94">
                  <c:v>6.3088747623636685</c:v>
                </c:pt>
                <c:pt idx="95">
                  <c:v>6.3088747623636685</c:v>
                </c:pt>
                <c:pt idx="96">
                  <c:v>6.3088747623636685</c:v>
                </c:pt>
                <c:pt idx="97">
                  <c:v>6.3088747623636685</c:v>
                </c:pt>
                <c:pt idx="98">
                  <c:v>6.3088747623636685</c:v>
                </c:pt>
                <c:pt idx="99">
                  <c:v>6.3088747623636685</c:v>
                </c:pt>
                <c:pt idx="100">
                  <c:v>6.3088747623636685</c:v>
                </c:pt>
                <c:pt idx="101">
                  <c:v>6.3088747623636685</c:v>
                </c:pt>
                <c:pt idx="102">
                  <c:v>6.3088747623636685</c:v>
                </c:pt>
                <c:pt idx="103">
                  <c:v>6.3088747623636685</c:v>
                </c:pt>
                <c:pt idx="104">
                  <c:v>6.3088747623636685</c:v>
                </c:pt>
                <c:pt idx="105">
                  <c:v>6.3088747623636685</c:v>
                </c:pt>
                <c:pt idx="106">
                  <c:v>6.3088747623636685</c:v>
                </c:pt>
                <c:pt idx="107">
                  <c:v>6.3088747623636685</c:v>
                </c:pt>
                <c:pt idx="108">
                  <c:v>6.3088747623636685</c:v>
                </c:pt>
                <c:pt idx="109">
                  <c:v>6.3088747623636685</c:v>
                </c:pt>
                <c:pt idx="110">
                  <c:v>6.3088747623636685</c:v>
                </c:pt>
                <c:pt idx="111">
                  <c:v>6.3088747623636685</c:v>
                </c:pt>
                <c:pt idx="112">
                  <c:v>6.3088747623636685</c:v>
                </c:pt>
                <c:pt idx="113">
                  <c:v>6.3088747623636685</c:v>
                </c:pt>
                <c:pt idx="114">
                  <c:v>6.3088747623636685</c:v>
                </c:pt>
                <c:pt idx="115">
                  <c:v>6.3088747623636685</c:v>
                </c:pt>
                <c:pt idx="116">
                  <c:v>6.3088747623636685</c:v>
                </c:pt>
                <c:pt idx="117">
                  <c:v>6.3088747623636685</c:v>
                </c:pt>
                <c:pt idx="118">
                  <c:v>6.3088747623636685</c:v>
                </c:pt>
                <c:pt idx="119">
                  <c:v>6.3088747623636685</c:v>
                </c:pt>
                <c:pt idx="120">
                  <c:v>6.3088747623636685</c:v>
                </c:pt>
                <c:pt idx="121">
                  <c:v>6.3088747623636685</c:v>
                </c:pt>
                <c:pt idx="122">
                  <c:v>6.3088747623636685</c:v>
                </c:pt>
                <c:pt idx="123">
                  <c:v>6.3088747623636685</c:v>
                </c:pt>
                <c:pt idx="124">
                  <c:v>6.3088747623636685</c:v>
                </c:pt>
                <c:pt idx="125">
                  <c:v>6.3088747623636685</c:v>
                </c:pt>
                <c:pt idx="126">
                  <c:v>6.3088747623636685</c:v>
                </c:pt>
                <c:pt idx="127">
                  <c:v>6.3088747623636685</c:v>
                </c:pt>
                <c:pt idx="128">
                  <c:v>6.3088747623636685</c:v>
                </c:pt>
                <c:pt idx="129">
                  <c:v>6.3088747623636685</c:v>
                </c:pt>
                <c:pt idx="130">
                  <c:v>6.3088747623636685</c:v>
                </c:pt>
                <c:pt idx="131">
                  <c:v>6.3088747623636685</c:v>
                </c:pt>
                <c:pt idx="132">
                  <c:v>6.3088747623636685</c:v>
                </c:pt>
                <c:pt idx="133">
                  <c:v>6.3088747623636685</c:v>
                </c:pt>
                <c:pt idx="134">
                  <c:v>6.3088747623636685</c:v>
                </c:pt>
                <c:pt idx="135">
                  <c:v>6.3088747623636685</c:v>
                </c:pt>
                <c:pt idx="136">
                  <c:v>6.3088747623636685</c:v>
                </c:pt>
                <c:pt idx="137">
                  <c:v>6.3088747623636685</c:v>
                </c:pt>
                <c:pt idx="138">
                  <c:v>6.3088747623636685</c:v>
                </c:pt>
                <c:pt idx="139">
                  <c:v>6.3088747623636685</c:v>
                </c:pt>
                <c:pt idx="140">
                  <c:v>6.3088747623636685</c:v>
                </c:pt>
                <c:pt idx="141">
                  <c:v>6.3088747623636685</c:v>
                </c:pt>
                <c:pt idx="142">
                  <c:v>6.3088747623636685</c:v>
                </c:pt>
                <c:pt idx="143">
                  <c:v>6.3088747623636685</c:v>
                </c:pt>
                <c:pt idx="144">
                  <c:v>6.3088747623636685</c:v>
                </c:pt>
                <c:pt idx="145">
                  <c:v>6.3088747623636685</c:v>
                </c:pt>
                <c:pt idx="146">
                  <c:v>6.3088747623636685</c:v>
                </c:pt>
                <c:pt idx="147">
                  <c:v>6.3088747623636685</c:v>
                </c:pt>
                <c:pt idx="148">
                  <c:v>6.3088747623636685</c:v>
                </c:pt>
                <c:pt idx="149">
                  <c:v>6.3088747623636685</c:v>
                </c:pt>
                <c:pt idx="150">
                  <c:v>6.3088747623636685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B0A-4C19-8E07-4571F0F5EDD9}"/>
            </c:ext>
          </c:extLst>
        </c:ser>
        <c:ser>
          <c:idx val="6"/>
          <c:order val="5"/>
          <c:tx>
            <c:strRef>
              <c:f>'Carta 0'!$Z$6</c:f>
              <c:strCache>
                <c:ptCount val="1"/>
                <c:pt idx="0">
                  <c:v>L.1S.S.</c:v>
                </c:pt>
              </c:strCache>
            </c:strRef>
          </c:tx>
          <c:spPr>
            <a:ln w="19050" cap="rnd">
              <a:solidFill>
                <a:srgbClr val="00B050">
                  <a:alpha val="6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0'!$R$7:$R$157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0'!$Z$7:$Z$157</c:f>
              <c:numCache>
                <c:formatCode>0.000</c:formatCode>
                <c:ptCount val="151"/>
                <c:pt idx="0">
                  <c:v>6.4402676188181678</c:v>
                </c:pt>
                <c:pt idx="1">
                  <c:v>6.4402676188181678</c:v>
                </c:pt>
                <c:pt idx="2">
                  <c:v>6.4402676188181678</c:v>
                </c:pt>
                <c:pt idx="3">
                  <c:v>6.4402676188181678</c:v>
                </c:pt>
                <c:pt idx="4">
                  <c:v>6.4402676188181678</c:v>
                </c:pt>
                <c:pt idx="5">
                  <c:v>6.4402676188181678</c:v>
                </c:pt>
                <c:pt idx="6">
                  <c:v>6.4402676188181678</c:v>
                </c:pt>
                <c:pt idx="7">
                  <c:v>6.4402676188181678</c:v>
                </c:pt>
                <c:pt idx="8">
                  <c:v>6.4402676188181678</c:v>
                </c:pt>
                <c:pt idx="9">
                  <c:v>6.4402676188181678</c:v>
                </c:pt>
                <c:pt idx="10">
                  <c:v>6.4402676188181678</c:v>
                </c:pt>
                <c:pt idx="11">
                  <c:v>6.4402676188181678</c:v>
                </c:pt>
                <c:pt idx="12">
                  <c:v>6.4402676188181678</c:v>
                </c:pt>
                <c:pt idx="13">
                  <c:v>6.4402676188181678</c:v>
                </c:pt>
                <c:pt idx="14">
                  <c:v>6.4402676188181678</c:v>
                </c:pt>
                <c:pt idx="15">
                  <c:v>6.4402676188181678</c:v>
                </c:pt>
                <c:pt idx="16">
                  <c:v>6.4402676188181678</c:v>
                </c:pt>
                <c:pt idx="17">
                  <c:v>6.4402676188181678</c:v>
                </c:pt>
                <c:pt idx="18">
                  <c:v>6.4402676188181678</c:v>
                </c:pt>
                <c:pt idx="19">
                  <c:v>6.4402676188181678</c:v>
                </c:pt>
                <c:pt idx="20">
                  <c:v>6.4402676188181678</c:v>
                </c:pt>
                <c:pt idx="21">
                  <c:v>6.4402676188181678</c:v>
                </c:pt>
                <c:pt idx="22">
                  <c:v>6.4402676188181678</c:v>
                </c:pt>
                <c:pt idx="23">
                  <c:v>6.4402676188181678</c:v>
                </c:pt>
                <c:pt idx="24">
                  <c:v>6.4402676188181678</c:v>
                </c:pt>
                <c:pt idx="25">
                  <c:v>6.4402676188181678</c:v>
                </c:pt>
                <c:pt idx="26">
                  <c:v>6.4402676188181678</c:v>
                </c:pt>
                <c:pt idx="27">
                  <c:v>6.4402676188181678</c:v>
                </c:pt>
                <c:pt idx="28">
                  <c:v>6.4402676188181678</c:v>
                </c:pt>
                <c:pt idx="29">
                  <c:v>6.4402676188181678</c:v>
                </c:pt>
                <c:pt idx="30">
                  <c:v>6.4402676188181678</c:v>
                </c:pt>
                <c:pt idx="31">
                  <c:v>6.4402676188181678</c:v>
                </c:pt>
                <c:pt idx="32">
                  <c:v>6.4402676188181678</c:v>
                </c:pt>
                <c:pt idx="33">
                  <c:v>6.4402676188181678</c:v>
                </c:pt>
                <c:pt idx="34">
                  <c:v>6.4402676188181678</c:v>
                </c:pt>
                <c:pt idx="35">
                  <c:v>6.4402676188181678</c:v>
                </c:pt>
                <c:pt idx="36">
                  <c:v>6.4402676188181678</c:v>
                </c:pt>
                <c:pt idx="37">
                  <c:v>6.4402676188181678</c:v>
                </c:pt>
                <c:pt idx="38">
                  <c:v>6.4402676188181678</c:v>
                </c:pt>
                <c:pt idx="39">
                  <c:v>6.4402676188181678</c:v>
                </c:pt>
                <c:pt idx="40">
                  <c:v>6.4402676188181678</c:v>
                </c:pt>
                <c:pt idx="41">
                  <c:v>6.4402676188181678</c:v>
                </c:pt>
                <c:pt idx="42">
                  <c:v>6.4402676188181678</c:v>
                </c:pt>
                <c:pt idx="43">
                  <c:v>6.4402676188181678</c:v>
                </c:pt>
                <c:pt idx="44">
                  <c:v>6.4402676188181678</c:v>
                </c:pt>
                <c:pt idx="45">
                  <c:v>6.4402676188181678</c:v>
                </c:pt>
                <c:pt idx="46">
                  <c:v>6.4402676188181678</c:v>
                </c:pt>
                <c:pt idx="47">
                  <c:v>6.4402676188181678</c:v>
                </c:pt>
                <c:pt idx="48">
                  <c:v>6.4402676188181678</c:v>
                </c:pt>
                <c:pt idx="49">
                  <c:v>6.4402676188181678</c:v>
                </c:pt>
                <c:pt idx="50">
                  <c:v>6.4402676188181678</c:v>
                </c:pt>
                <c:pt idx="51">
                  <c:v>6.4402676188181678</c:v>
                </c:pt>
                <c:pt idx="52">
                  <c:v>6.4402676188181678</c:v>
                </c:pt>
                <c:pt idx="53">
                  <c:v>6.4402676188181678</c:v>
                </c:pt>
                <c:pt idx="54">
                  <c:v>6.4402676188181678</c:v>
                </c:pt>
                <c:pt idx="55">
                  <c:v>6.4402676188181678</c:v>
                </c:pt>
                <c:pt idx="56">
                  <c:v>6.4402676188181678</c:v>
                </c:pt>
                <c:pt idx="57">
                  <c:v>6.4402676188181678</c:v>
                </c:pt>
                <c:pt idx="58">
                  <c:v>6.4402676188181678</c:v>
                </c:pt>
                <c:pt idx="59">
                  <c:v>6.4402676188181678</c:v>
                </c:pt>
                <c:pt idx="60">
                  <c:v>6.4402676188181678</c:v>
                </c:pt>
                <c:pt idx="61">
                  <c:v>6.4402676188181678</c:v>
                </c:pt>
                <c:pt idx="62">
                  <c:v>6.4402676188181678</c:v>
                </c:pt>
                <c:pt idx="63">
                  <c:v>6.4402676188181678</c:v>
                </c:pt>
                <c:pt idx="64">
                  <c:v>6.4402676188181678</c:v>
                </c:pt>
                <c:pt idx="65">
                  <c:v>6.4402676188181678</c:v>
                </c:pt>
                <c:pt idx="66">
                  <c:v>6.4402676188181678</c:v>
                </c:pt>
                <c:pt idx="67">
                  <c:v>6.4402676188181678</c:v>
                </c:pt>
                <c:pt idx="68">
                  <c:v>6.4402676188181678</c:v>
                </c:pt>
                <c:pt idx="69">
                  <c:v>6.4402676188181678</c:v>
                </c:pt>
                <c:pt idx="70">
                  <c:v>6.4402676188181678</c:v>
                </c:pt>
                <c:pt idx="71">
                  <c:v>6.4402676188181678</c:v>
                </c:pt>
                <c:pt idx="72">
                  <c:v>6.4402676188181678</c:v>
                </c:pt>
                <c:pt idx="73">
                  <c:v>6.4402676188181678</c:v>
                </c:pt>
                <c:pt idx="74">
                  <c:v>6.4402676188181678</c:v>
                </c:pt>
                <c:pt idx="75">
                  <c:v>6.4402676188181678</c:v>
                </c:pt>
                <c:pt idx="76">
                  <c:v>6.4402676188181678</c:v>
                </c:pt>
                <c:pt idx="77">
                  <c:v>6.4402676188181678</c:v>
                </c:pt>
                <c:pt idx="78">
                  <c:v>6.4402676188181678</c:v>
                </c:pt>
                <c:pt idx="79">
                  <c:v>6.4402676188181678</c:v>
                </c:pt>
                <c:pt idx="80">
                  <c:v>6.4402676188181678</c:v>
                </c:pt>
                <c:pt idx="81">
                  <c:v>6.4402676188181678</c:v>
                </c:pt>
                <c:pt idx="82">
                  <c:v>6.4402676188181678</c:v>
                </c:pt>
                <c:pt idx="83">
                  <c:v>6.4402676188181678</c:v>
                </c:pt>
                <c:pt idx="84">
                  <c:v>6.4402676188181678</c:v>
                </c:pt>
                <c:pt idx="85">
                  <c:v>6.4402676188181678</c:v>
                </c:pt>
                <c:pt idx="86">
                  <c:v>6.4402676188181678</c:v>
                </c:pt>
                <c:pt idx="87">
                  <c:v>6.4402676188181678</c:v>
                </c:pt>
                <c:pt idx="88">
                  <c:v>6.4402676188181678</c:v>
                </c:pt>
                <c:pt idx="89">
                  <c:v>6.4402676188181678</c:v>
                </c:pt>
                <c:pt idx="90">
                  <c:v>6.4402676188181678</c:v>
                </c:pt>
                <c:pt idx="91">
                  <c:v>6.4402676188181678</c:v>
                </c:pt>
                <c:pt idx="92">
                  <c:v>6.4402676188181678</c:v>
                </c:pt>
                <c:pt idx="93">
                  <c:v>6.4402676188181678</c:v>
                </c:pt>
                <c:pt idx="94">
                  <c:v>6.4402676188181678</c:v>
                </c:pt>
                <c:pt idx="95">
                  <c:v>6.4402676188181678</c:v>
                </c:pt>
                <c:pt idx="96">
                  <c:v>6.4402676188181678</c:v>
                </c:pt>
                <c:pt idx="97">
                  <c:v>6.4402676188181678</c:v>
                </c:pt>
                <c:pt idx="98">
                  <c:v>6.4402676188181678</c:v>
                </c:pt>
                <c:pt idx="99">
                  <c:v>6.4402676188181678</c:v>
                </c:pt>
                <c:pt idx="100">
                  <c:v>6.4402676188181678</c:v>
                </c:pt>
                <c:pt idx="101">
                  <c:v>6.4402676188181678</c:v>
                </c:pt>
                <c:pt idx="102">
                  <c:v>6.4402676188181678</c:v>
                </c:pt>
                <c:pt idx="103">
                  <c:v>6.4402676188181678</c:v>
                </c:pt>
                <c:pt idx="104">
                  <c:v>6.4402676188181678</c:v>
                </c:pt>
                <c:pt idx="105">
                  <c:v>6.4402676188181678</c:v>
                </c:pt>
                <c:pt idx="106">
                  <c:v>6.4402676188181678</c:v>
                </c:pt>
                <c:pt idx="107">
                  <c:v>6.4402676188181678</c:v>
                </c:pt>
                <c:pt idx="108">
                  <c:v>6.4402676188181678</c:v>
                </c:pt>
                <c:pt idx="109">
                  <c:v>6.4402676188181678</c:v>
                </c:pt>
                <c:pt idx="110">
                  <c:v>6.4402676188181678</c:v>
                </c:pt>
                <c:pt idx="111">
                  <c:v>6.4402676188181678</c:v>
                </c:pt>
                <c:pt idx="112">
                  <c:v>6.4402676188181678</c:v>
                </c:pt>
                <c:pt idx="113">
                  <c:v>6.4402676188181678</c:v>
                </c:pt>
                <c:pt idx="114">
                  <c:v>6.4402676188181678</c:v>
                </c:pt>
                <c:pt idx="115">
                  <c:v>6.4402676188181678</c:v>
                </c:pt>
                <c:pt idx="116">
                  <c:v>6.4402676188181678</c:v>
                </c:pt>
                <c:pt idx="117">
                  <c:v>6.4402676188181678</c:v>
                </c:pt>
                <c:pt idx="118">
                  <c:v>6.4402676188181678</c:v>
                </c:pt>
                <c:pt idx="119">
                  <c:v>6.4402676188181678</c:v>
                </c:pt>
                <c:pt idx="120">
                  <c:v>6.4402676188181678</c:v>
                </c:pt>
                <c:pt idx="121">
                  <c:v>6.4402676188181678</c:v>
                </c:pt>
                <c:pt idx="122">
                  <c:v>6.4402676188181678</c:v>
                </c:pt>
                <c:pt idx="123">
                  <c:v>6.4402676188181678</c:v>
                </c:pt>
                <c:pt idx="124">
                  <c:v>6.4402676188181678</c:v>
                </c:pt>
                <c:pt idx="125">
                  <c:v>6.4402676188181678</c:v>
                </c:pt>
                <c:pt idx="126">
                  <c:v>6.4402676188181678</c:v>
                </c:pt>
                <c:pt idx="127">
                  <c:v>6.4402676188181678</c:v>
                </c:pt>
                <c:pt idx="128">
                  <c:v>6.4402676188181678</c:v>
                </c:pt>
                <c:pt idx="129">
                  <c:v>6.4402676188181678</c:v>
                </c:pt>
                <c:pt idx="130">
                  <c:v>6.4402676188181678</c:v>
                </c:pt>
                <c:pt idx="131">
                  <c:v>6.4402676188181678</c:v>
                </c:pt>
                <c:pt idx="132">
                  <c:v>6.4402676188181678</c:v>
                </c:pt>
                <c:pt idx="133">
                  <c:v>6.4402676188181678</c:v>
                </c:pt>
                <c:pt idx="134">
                  <c:v>6.4402676188181678</c:v>
                </c:pt>
                <c:pt idx="135">
                  <c:v>6.4402676188181678</c:v>
                </c:pt>
                <c:pt idx="136">
                  <c:v>6.4402676188181678</c:v>
                </c:pt>
                <c:pt idx="137">
                  <c:v>6.4402676188181678</c:v>
                </c:pt>
                <c:pt idx="138">
                  <c:v>6.4402676188181678</c:v>
                </c:pt>
                <c:pt idx="139">
                  <c:v>6.4402676188181678</c:v>
                </c:pt>
                <c:pt idx="140">
                  <c:v>6.4402676188181678</c:v>
                </c:pt>
                <c:pt idx="141">
                  <c:v>6.4402676188181678</c:v>
                </c:pt>
                <c:pt idx="142">
                  <c:v>6.4402676188181678</c:v>
                </c:pt>
                <c:pt idx="143">
                  <c:v>6.4402676188181678</c:v>
                </c:pt>
                <c:pt idx="144">
                  <c:v>6.4402676188181678</c:v>
                </c:pt>
                <c:pt idx="145">
                  <c:v>6.4402676188181678</c:v>
                </c:pt>
                <c:pt idx="146">
                  <c:v>6.4402676188181678</c:v>
                </c:pt>
                <c:pt idx="147">
                  <c:v>6.4402676188181678</c:v>
                </c:pt>
                <c:pt idx="148">
                  <c:v>6.4402676188181678</c:v>
                </c:pt>
                <c:pt idx="149">
                  <c:v>6.4402676188181678</c:v>
                </c:pt>
                <c:pt idx="150">
                  <c:v>6.4402676188181678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B0A-4C19-8E07-4571F0F5EDD9}"/>
            </c:ext>
          </c:extLst>
        </c:ser>
        <c:ser>
          <c:idx val="7"/>
          <c:order val="6"/>
          <c:tx>
            <c:strRef>
              <c:f>'Carta 0'!$AA$6</c:f>
              <c:strCache>
                <c:ptCount val="1"/>
                <c:pt idx="0">
                  <c:v>L.1S.I.</c:v>
                </c:pt>
              </c:strCache>
            </c:strRef>
          </c:tx>
          <c:spPr>
            <a:ln w="19050" cap="rnd">
              <a:solidFill>
                <a:srgbClr val="00B050">
                  <a:alpha val="6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0'!$R$7:$R$157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0'!$AA$7:$AA$157</c:f>
              <c:numCache>
                <c:formatCode>0.000</c:formatCode>
                <c:ptCount val="151"/>
                <c:pt idx="0">
                  <c:v>6.3526723811818355</c:v>
                </c:pt>
                <c:pt idx="1">
                  <c:v>6.3526723811818355</c:v>
                </c:pt>
                <c:pt idx="2">
                  <c:v>6.3526723811818355</c:v>
                </c:pt>
                <c:pt idx="3">
                  <c:v>6.3526723811818355</c:v>
                </c:pt>
                <c:pt idx="4">
                  <c:v>6.3526723811818355</c:v>
                </c:pt>
                <c:pt idx="5">
                  <c:v>6.3526723811818355</c:v>
                </c:pt>
                <c:pt idx="6">
                  <c:v>6.3526723811818355</c:v>
                </c:pt>
                <c:pt idx="7">
                  <c:v>6.3526723811818355</c:v>
                </c:pt>
                <c:pt idx="8">
                  <c:v>6.3526723811818355</c:v>
                </c:pt>
                <c:pt idx="9">
                  <c:v>6.3526723811818355</c:v>
                </c:pt>
                <c:pt idx="10">
                  <c:v>6.3526723811818355</c:v>
                </c:pt>
                <c:pt idx="11">
                  <c:v>6.3526723811818355</c:v>
                </c:pt>
                <c:pt idx="12">
                  <c:v>6.3526723811818355</c:v>
                </c:pt>
                <c:pt idx="13">
                  <c:v>6.3526723811818355</c:v>
                </c:pt>
                <c:pt idx="14">
                  <c:v>6.3526723811818355</c:v>
                </c:pt>
                <c:pt idx="15">
                  <c:v>6.3526723811818355</c:v>
                </c:pt>
                <c:pt idx="16">
                  <c:v>6.3526723811818355</c:v>
                </c:pt>
                <c:pt idx="17">
                  <c:v>6.3526723811818355</c:v>
                </c:pt>
                <c:pt idx="18">
                  <c:v>6.3526723811818355</c:v>
                </c:pt>
                <c:pt idx="19">
                  <c:v>6.3526723811818355</c:v>
                </c:pt>
                <c:pt idx="20">
                  <c:v>6.3526723811818355</c:v>
                </c:pt>
                <c:pt idx="21">
                  <c:v>6.3526723811818355</c:v>
                </c:pt>
                <c:pt idx="22">
                  <c:v>6.3526723811818355</c:v>
                </c:pt>
                <c:pt idx="23">
                  <c:v>6.3526723811818355</c:v>
                </c:pt>
                <c:pt idx="24">
                  <c:v>6.3526723811818355</c:v>
                </c:pt>
                <c:pt idx="25">
                  <c:v>6.3526723811818355</c:v>
                </c:pt>
                <c:pt idx="26">
                  <c:v>6.3526723811818355</c:v>
                </c:pt>
                <c:pt idx="27">
                  <c:v>6.3526723811818355</c:v>
                </c:pt>
                <c:pt idx="28">
                  <c:v>6.3526723811818355</c:v>
                </c:pt>
                <c:pt idx="29">
                  <c:v>6.3526723811818355</c:v>
                </c:pt>
                <c:pt idx="30">
                  <c:v>6.3526723811818355</c:v>
                </c:pt>
                <c:pt idx="31">
                  <c:v>6.3526723811818355</c:v>
                </c:pt>
                <c:pt idx="32">
                  <c:v>6.3526723811818355</c:v>
                </c:pt>
                <c:pt idx="33">
                  <c:v>6.3526723811818355</c:v>
                </c:pt>
                <c:pt idx="34">
                  <c:v>6.3526723811818355</c:v>
                </c:pt>
                <c:pt idx="35">
                  <c:v>6.3526723811818355</c:v>
                </c:pt>
                <c:pt idx="36">
                  <c:v>6.3526723811818355</c:v>
                </c:pt>
                <c:pt idx="37">
                  <c:v>6.3526723811818355</c:v>
                </c:pt>
                <c:pt idx="38">
                  <c:v>6.3526723811818355</c:v>
                </c:pt>
                <c:pt idx="39">
                  <c:v>6.3526723811818355</c:v>
                </c:pt>
                <c:pt idx="40">
                  <c:v>6.3526723811818355</c:v>
                </c:pt>
                <c:pt idx="41">
                  <c:v>6.3526723811818355</c:v>
                </c:pt>
                <c:pt idx="42">
                  <c:v>6.3526723811818355</c:v>
                </c:pt>
                <c:pt idx="43">
                  <c:v>6.3526723811818355</c:v>
                </c:pt>
                <c:pt idx="44">
                  <c:v>6.3526723811818355</c:v>
                </c:pt>
                <c:pt idx="45">
                  <c:v>6.3526723811818355</c:v>
                </c:pt>
                <c:pt idx="46">
                  <c:v>6.3526723811818355</c:v>
                </c:pt>
                <c:pt idx="47">
                  <c:v>6.3526723811818355</c:v>
                </c:pt>
                <c:pt idx="48">
                  <c:v>6.3526723811818355</c:v>
                </c:pt>
                <c:pt idx="49">
                  <c:v>6.3526723811818355</c:v>
                </c:pt>
                <c:pt idx="50">
                  <c:v>6.3526723811818355</c:v>
                </c:pt>
                <c:pt idx="51">
                  <c:v>6.3526723811818355</c:v>
                </c:pt>
                <c:pt idx="52">
                  <c:v>6.3526723811818355</c:v>
                </c:pt>
                <c:pt idx="53">
                  <c:v>6.3526723811818355</c:v>
                </c:pt>
                <c:pt idx="54">
                  <c:v>6.3526723811818355</c:v>
                </c:pt>
                <c:pt idx="55">
                  <c:v>6.3526723811818355</c:v>
                </c:pt>
                <c:pt idx="56">
                  <c:v>6.3526723811818355</c:v>
                </c:pt>
                <c:pt idx="57">
                  <c:v>6.3526723811818355</c:v>
                </c:pt>
                <c:pt idx="58">
                  <c:v>6.3526723811818355</c:v>
                </c:pt>
                <c:pt idx="59">
                  <c:v>6.3526723811818355</c:v>
                </c:pt>
                <c:pt idx="60">
                  <c:v>6.3526723811818355</c:v>
                </c:pt>
                <c:pt idx="61">
                  <c:v>6.3526723811818355</c:v>
                </c:pt>
                <c:pt idx="62">
                  <c:v>6.3526723811818355</c:v>
                </c:pt>
                <c:pt idx="63">
                  <c:v>6.3526723811818355</c:v>
                </c:pt>
                <c:pt idx="64">
                  <c:v>6.3526723811818355</c:v>
                </c:pt>
                <c:pt idx="65">
                  <c:v>6.3526723811818355</c:v>
                </c:pt>
                <c:pt idx="66">
                  <c:v>6.3526723811818355</c:v>
                </c:pt>
                <c:pt idx="67">
                  <c:v>6.3526723811818355</c:v>
                </c:pt>
                <c:pt idx="68">
                  <c:v>6.3526723811818355</c:v>
                </c:pt>
                <c:pt idx="69">
                  <c:v>6.3526723811818355</c:v>
                </c:pt>
                <c:pt idx="70">
                  <c:v>6.3526723811818355</c:v>
                </c:pt>
                <c:pt idx="71">
                  <c:v>6.3526723811818355</c:v>
                </c:pt>
                <c:pt idx="72">
                  <c:v>6.3526723811818355</c:v>
                </c:pt>
                <c:pt idx="73">
                  <c:v>6.3526723811818355</c:v>
                </c:pt>
                <c:pt idx="74">
                  <c:v>6.3526723811818355</c:v>
                </c:pt>
                <c:pt idx="75">
                  <c:v>6.3526723811818355</c:v>
                </c:pt>
                <c:pt idx="76">
                  <c:v>6.3526723811818355</c:v>
                </c:pt>
                <c:pt idx="77">
                  <c:v>6.3526723811818355</c:v>
                </c:pt>
                <c:pt idx="78">
                  <c:v>6.3526723811818355</c:v>
                </c:pt>
                <c:pt idx="79">
                  <c:v>6.3526723811818355</c:v>
                </c:pt>
                <c:pt idx="80">
                  <c:v>6.3526723811818355</c:v>
                </c:pt>
                <c:pt idx="81">
                  <c:v>6.3526723811818355</c:v>
                </c:pt>
                <c:pt idx="82">
                  <c:v>6.3526723811818355</c:v>
                </c:pt>
                <c:pt idx="83">
                  <c:v>6.3526723811818355</c:v>
                </c:pt>
                <c:pt idx="84">
                  <c:v>6.3526723811818355</c:v>
                </c:pt>
                <c:pt idx="85">
                  <c:v>6.3526723811818355</c:v>
                </c:pt>
                <c:pt idx="86">
                  <c:v>6.3526723811818355</c:v>
                </c:pt>
                <c:pt idx="87">
                  <c:v>6.3526723811818355</c:v>
                </c:pt>
                <c:pt idx="88">
                  <c:v>6.3526723811818355</c:v>
                </c:pt>
                <c:pt idx="89">
                  <c:v>6.3526723811818355</c:v>
                </c:pt>
                <c:pt idx="90">
                  <c:v>6.3526723811818355</c:v>
                </c:pt>
                <c:pt idx="91">
                  <c:v>6.3526723811818355</c:v>
                </c:pt>
                <c:pt idx="92">
                  <c:v>6.3526723811818355</c:v>
                </c:pt>
                <c:pt idx="93">
                  <c:v>6.3526723811818355</c:v>
                </c:pt>
                <c:pt idx="94">
                  <c:v>6.3526723811818355</c:v>
                </c:pt>
                <c:pt idx="95">
                  <c:v>6.3526723811818355</c:v>
                </c:pt>
                <c:pt idx="96">
                  <c:v>6.3526723811818355</c:v>
                </c:pt>
                <c:pt idx="97">
                  <c:v>6.3526723811818355</c:v>
                </c:pt>
                <c:pt idx="98">
                  <c:v>6.3526723811818355</c:v>
                </c:pt>
                <c:pt idx="99">
                  <c:v>6.3526723811818355</c:v>
                </c:pt>
                <c:pt idx="100">
                  <c:v>6.3526723811818355</c:v>
                </c:pt>
                <c:pt idx="101">
                  <c:v>6.3526723811818355</c:v>
                </c:pt>
                <c:pt idx="102">
                  <c:v>6.3526723811818355</c:v>
                </c:pt>
                <c:pt idx="103">
                  <c:v>6.3526723811818355</c:v>
                </c:pt>
                <c:pt idx="104">
                  <c:v>6.3526723811818355</c:v>
                </c:pt>
                <c:pt idx="105">
                  <c:v>6.3526723811818355</c:v>
                </c:pt>
                <c:pt idx="106">
                  <c:v>6.3526723811818355</c:v>
                </c:pt>
                <c:pt idx="107">
                  <c:v>6.3526723811818355</c:v>
                </c:pt>
                <c:pt idx="108">
                  <c:v>6.3526723811818355</c:v>
                </c:pt>
                <c:pt idx="109">
                  <c:v>6.3526723811818355</c:v>
                </c:pt>
                <c:pt idx="110">
                  <c:v>6.3526723811818355</c:v>
                </c:pt>
                <c:pt idx="111">
                  <c:v>6.3526723811818355</c:v>
                </c:pt>
                <c:pt idx="112">
                  <c:v>6.3526723811818355</c:v>
                </c:pt>
                <c:pt idx="113">
                  <c:v>6.3526723811818355</c:v>
                </c:pt>
                <c:pt idx="114">
                  <c:v>6.3526723811818355</c:v>
                </c:pt>
                <c:pt idx="115">
                  <c:v>6.3526723811818355</c:v>
                </c:pt>
                <c:pt idx="116">
                  <c:v>6.3526723811818355</c:v>
                </c:pt>
                <c:pt idx="117">
                  <c:v>6.3526723811818355</c:v>
                </c:pt>
                <c:pt idx="118">
                  <c:v>6.3526723811818355</c:v>
                </c:pt>
                <c:pt idx="119">
                  <c:v>6.3526723811818355</c:v>
                </c:pt>
                <c:pt idx="120">
                  <c:v>6.3526723811818355</c:v>
                </c:pt>
                <c:pt idx="121">
                  <c:v>6.3526723811818355</c:v>
                </c:pt>
                <c:pt idx="122">
                  <c:v>6.3526723811818355</c:v>
                </c:pt>
                <c:pt idx="123">
                  <c:v>6.3526723811818355</c:v>
                </c:pt>
                <c:pt idx="124">
                  <c:v>6.3526723811818355</c:v>
                </c:pt>
                <c:pt idx="125">
                  <c:v>6.3526723811818355</c:v>
                </c:pt>
                <c:pt idx="126">
                  <c:v>6.3526723811818355</c:v>
                </c:pt>
                <c:pt idx="127">
                  <c:v>6.3526723811818355</c:v>
                </c:pt>
                <c:pt idx="128">
                  <c:v>6.3526723811818355</c:v>
                </c:pt>
                <c:pt idx="129">
                  <c:v>6.3526723811818355</c:v>
                </c:pt>
                <c:pt idx="130">
                  <c:v>6.3526723811818355</c:v>
                </c:pt>
                <c:pt idx="131">
                  <c:v>6.3526723811818355</c:v>
                </c:pt>
                <c:pt idx="132">
                  <c:v>6.3526723811818355</c:v>
                </c:pt>
                <c:pt idx="133">
                  <c:v>6.3526723811818355</c:v>
                </c:pt>
                <c:pt idx="134">
                  <c:v>6.3526723811818355</c:v>
                </c:pt>
                <c:pt idx="135">
                  <c:v>6.3526723811818355</c:v>
                </c:pt>
                <c:pt idx="136">
                  <c:v>6.3526723811818355</c:v>
                </c:pt>
                <c:pt idx="137">
                  <c:v>6.3526723811818355</c:v>
                </c:pt>
                <c:pt idx="138">
                  <c:v>6.3526723811818355</c:v>
                </c:pt>
                <c:pt idx="139">
                  <c:v>6.3526723811818355</c:v>
                </c:pt>
                <c:pt idx="140">
                  <c:v>6.3526723811818355</c:v>
                </c:pt>
                <c:pt idx="141">
                  <c:v>6.3526723811818355</c:v>
                </c:pt>
                <c:pt idx="142">
                  <c:v>6.3526723811818355</c:v>
                </c:pt>
                <c:pt idx="143">
                  <c:v>6.3526723811818355</c:v>
                </c:pt>
                <c:pt idx="144">
                  <c:v>6.3526723811818355</c:v>
                </c:pt>
                <c:pt idx="145">
                  <c:v>6.3526723811818355</c:v>
                </c:pt>
                <c:pt idx="146">
                  <c:v>6.3526723811818355</c:v>
                </c:pt>
                <c:pt idx="147">
                  <c:v>6.3526723811818355</c:v>
                </c:pt>
                <c:pt idx="148">
                  <c:v>6.3526723811818355</c:v>
                </c:pt>
                <c:pt idx="149">
                  <c:v>6.3526723811818355</c:v>
                </c:pt>
                <c:pt idx="150">
                  <c:v>6.3526723811818355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B0A-4C19-8E07-4571F0F5EDD9}"/>
            </c:ext>
          </c:extLst>
        </c:ser>
        <c:ser>
          <c:idx val="0"/>
          <c:order val="7"/>
          <c:tx>
            <c:strRef>
              <c:f>'Carta 0'!$S$6</c:f>
              <c:strCache>
                <c:ptCount val="1"/>
                <c:pt idx="0">
                  <c:v>Capilar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'Carta 0'!$R$7:$R$157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0'!$S$7:$S$157</c:f>
              <c:numCache>
                <c:formatCode>0.00</c:formatCode>
                <c:ptCount val="151"/>
                <c:pt idx="1">
                  <c:v>6.4379999999999997</c:v>
                </c:pt>
                <c:pt idx="2">
                  <c:v>6.4029999999999996</c:v>
                </c:pt>
                <c:pt idx="3">
                  <c:v>6.4210000000000003</c:v>
                </c:pt>
                <c:pt idx="4">
                  <c:v>6.45</c:v>
                </c:pt>
                <c:pt idx="5">
                  <c:v>6.44</c:v>
                </c:pt>
                <c:pt idx="6">
                  <c:v>6.41</c:v>
                </c:pt>
                <c:pt idx="7">
                  <c:v>6.42</c:v>
                </c:pt>
                <c:pt idx="8">
                  <c:v>6.4039999999999999</c:v>
                </c:pt>
                <c:pt idx="9">
                  <c:v>6.42</c:v>
                </c:pt>
                <c:pt idx="10">
                  <c:v>6.42</c:v>
                </c:pt>
                <c:pt idx="11">
                  <c:v>6.42</c:v>
                </c:pt>
                <c:pt idx="12">
                  <c:v>6.43</c:v>
                </c:pt>
                <c:pt idx="13" formatCode="General">
                  <c:v>6.45</c:v>
                </c:pt>
                <c:pt idx="14" formatCode="General">
                  <c:v>6.48</c:v>
                </c:pt>
                <c:pt idx="15" formatCode="General">
                  <c:v>6.43</c:v>
                </c:pt>
                <c:pt idx="16" formatCode="General">
                  <c:v>6.39</c:v>
                </c:pt>
                <c:pt idx="17" formatCode="0.000">
                  <c:v>6.41</c:v>
                </c:pt>
                <c:pt idx="18" formatCode="General">
                  <c:v>6.32</c:v>
                </c:pt>
                <c:pt idx="19" formatCode="General">
                  <c:v>6.27</c:v>
                </c:pt>
                <c:pt idx="20" formatCode="General">
                  <c:v>6.38</c:v>
                </c:pt>
                <c:pt idx="21" formatCode="General">
                  <c:v>6.39</c:v>
                </c:pt>
                <c:pt idx="22" formatCode="General">
                  <c:v>6.33</c:v>
                </c:pt>
                <c:pt idx="23" formatCode="General">
                  <c:v>6.33</c:v>
                </c:pt>
                <c:pt idx="24" formatCode="General">
                  <c:v>6.41</c:v>
                </c:pt>
                <c:pt idx="25" formatCode="General">
                  <c:v>6.33</c:v>
                </c:pt>
                <c:pt idx="26" formatCode="General">
                  <c:v>6.42</c:v>
                </c:pt>
                <c:pt idx="27" formatCode="General">
                  <c:v>6.3</c:v>
                </c:pt>
                <c:pt idx="28" formatCode="General">
                  <c:v>6.37</c:v>
                </c:pt>
                <c:pt idx="29" formatCode="General">
                  <c:v>6.35</c:v>
                </c:pt>
                <c:pt idx="30" formatCode="General">
                  <c:v>6.33</c:v>
                </c:pt>
                <c:pt idx="31" formatCode="General">
                  <c:v>6.42</c:v>
                </c:pt>
                <c:pt idx="32" formatCode="General">
                  <c:v>6.39</c:v>
                </c:pt>
                <c:pt idx="33" formatCode="General">
                  <c:v>6.34</c:v>
                </c:pt>
                <c:pt idx="34" formatCode="General">
                  <c:v>6.45</c:v>
                </c:pt>
                <c:pt idx="35" formatCode="General">
                  <c:v>6.37</c:v>
                </c:pt>
                <c:pt idx="36" formatCode="General">
                  <c:v>6.43</c:v>
                </c:pt>
                <c:pt idx="37" formatCode="General">
                  <c:v>6.35</c:v>
                </c:pt>
                <c:pt idx="38" formatCode="General">
                  <c:v>6.41</c:v>
                </c:pt>
                <c:pt idx="39" formatCode="General">
                  <c:v>6.4</c:v>
                </c:pt>
                <c:pt idx="40" formatCode="General">
                  <c:v>6.45</c:v>
                </c:pt>
                <c:pt idx="41" formatCode="General">
                  <c:v>6.33</c:v>
                </c:pt>
                <c:pt idx="42" formatCode="General">
                  <c:v>6.36</c:v>
                </c:pt>
                <c:pt idx="43" formatCode="General">
                  <c:v>6.35</c:v>
                </c:pt>
                <c:pt idx="44" formatCode="General">
                  <c:v>6.35</c:v>
                </c:pt>
                <c:pt idx="45" formatCode="General">
                  <c:v>6.41</c:v>
                </c:pt>
                <c:pt idx="46" formatCode="General">
                  <c:v>6.37</c:v>
                </c:pt>
                <c:pt idx="47" formatCode="General">
                  <c:v>6.41</c:v>
                </c:pt>
                <c:pt idx="48" formatCode="General">
                  <c:v>6.38</c:v>
                </c:pt>
                <c:pt idx="49" formatCode="General">
                  <c:v>6.38</c:v>
                </c:pt>
                <c:pt idx="50" formatCode="General">
                  <c:v>6.32</c:v>
                </c:pt>
                <c:pt idx="51" formatCode="General">
                  <c:v>6.43</c:v>
                </c:pt>
                <c:pt idx="52" formatCode="General">
                  <c:v>6.42</c:v>
                </c:pt>
                <c:pt idx="53" formatCode="General">
                  <c:v>6.36</c:v>
                </c:pt>
                <c:pt idx="54" formatCode="General">
                  <c:v>6.46</c:v>
                </c:pt>
                <c:pt idx="55" formatCode="General">
                  <c:v>6.43</c:v>
                </c:pt>
                <c:pt idx="56" formatCode="General">
                  <c:v>6.39</c:v>
                </c:pt>
                <c:pt idx="57" formatCode="General">
                  <c:v>6.38</c:v>
                </c:pt>
                <c:pt idx="58" formatCode="General">
                  <c:v>6.47</c:v>
                </c:pt>
                <c:pt idx="59" formatCode="General">
                  <c:v>6.47</c:v>
                </c:pt>
                <c:pt idx="60" formatCode="General">
                  <c:v>6.47</c:v>
                </c:pt>
                <c:pt idx="61" formatCode="General">
                  <c:v>6.35</c:v>
                </c:pt>
                <c:pt idx="62" formatCode="General">
                  <c:v>6.43</c:v>
                </c:pt>
                <c:pt idx="63" formatCode="General">
                  <c:v>6.43</c:v>
                </c:pt>
                <c:pt idx="64" formatCode="General">
                  <c:v>6.42</c:v>
                </c:pt>
                <c:pt idx="65" formatCode="General">
                  <c:v>6.49</c:v>
                </c:pt>
                <c:pt idx="66" formatCode="General">
                  <c:v>6.45</c:v>
                </c:pt>
                <c:pt idx="67" formatCode="General">
                  <c:v>6.36</c:v>
                </c:pt>
                <c:pt idx="68" formatCode="General">
                  <c:v>6.45</c:v>
                </c:pt>
                <c:pt idx="69" formatCode="General">
                  <c:v>6.35</c:v>
                </c:pt>
                <c:pt idx="70" formatCode="General">
                  <c:v>6.38</c:v>
                </c:pt>
                <c:pt idx="71" formatCode="General">
                  <c:v>6.3209999999999997</c:v>
                </c:pt>
                <c:pt idx="72" formatCode="General">
                  <c:v>6.41</c:v>
                </c:pt>
                <c:pt idx="73" formatCode="General">
                  <c:v>6.36</c:v>
                </c:pt>
                <c:pt idx="74" formatCode="General">
                  <c:v>6.35</c:v>
                </c:pt>
                <c:pt idx="75" formatCode="General">
                  <c:v>6.36</c:v>
                </c:pt>
                <c:pt idx="76" formatCode="General">
                  <c:v>6.36</c:v>
                </c:pt>
                <c:pt idx="77" formatCode="General">
                  <c:v>6.38</c:v>
                </c:pt>
                <c:pt idx="78" formatCode="General">
                  <c:v>6.42</c:v>
                </c:pt>
                <c:pt idx="79" formatCode="General">
                  <c:v>6.44</c:v>
                </c:pt>
                <c:pt idx="80" formatCode="General">
                  <c:v>6.4</c:v>
                </c:pt>
                <c:pt idx="81" formatCode="General">
                  <c:v>6.42</c:v>
                </c:pt>
                <c:pt idx="82" formatCode="General">
                  <c:v>6.38</c:v>
                </c:pt>
                <c:pt idx="83" formatCode="General">
                  <c:v>6.38</c:v>
                </c:pt>
                <c:pt idx="84" formatCode="General">
                  <c:v>6.38</c:v>
                </c:pt>
                <c:pt idx="85" formatCode="General">
                  <c:v>6.33</c:v>
                </c:pt>
                <c:pt idx="86" formatCode="General">
                  <c:v>6.43</c:v>
                </c:pt>
                <c:pt idx="87" formatCode="General">
                  <c:v>6.38</c:v>
                </c:pt>
                <c:pt idx="88" formatCode="General">
                  <c:v>6.35</c:v>
                </c:pt>
                <c:pt idx="89" formatCode="General">
                  <c:v>6.41</c:v>
                </c:pt>
                <c:pt idx="90" formatCode="General">
                  <c:v>6.39</c:v>
                </c:pt>
                <c:pt idx="91" formatCode="General">
                  <c:v>6.36</c:v>
                </c:pt>
                <c:pt idx="92" formatCode="General">
                  <c:v>6.39</c:v>
                </c:pt>
                <c:pt idx="93" formatCode="General">
                  <c:v>6.41</c:v>
                </c:pt>
                <c:pt idx="94" formatCode="General">
                  <c:v>6.43</c:v>
                </c:pt>
                <c:pt idx="95" formatCode="General">
                  <c:v>6.4</c:v>
                </c:pt>
                <c:pt idx="96" formatCode="General">
                  <c:v>6.45</c:v>
                </c:pt>
                <c:pt idx="97" formatCode="General">
                  <c:v>6.42</c:v>
                </c:pt>
                <c:pt idx="98" formatCode="General">
                  <c:v>6.43</c:v>
                </c:pt>
                <c:pt idx="99" formatCode="General">
                  <c:v>6.42</c:v>
                </c:pt>
                <c:pt idx="100" formatCode="General">
                  <c:v>6.46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B0A-4C19-8E07-4571F0F5E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522431"/>
        <c:axId val="1059523871"/>
      </c:scatterChart>
      <c:valAx>
        <c:axId val="1059522431"/>
        <c:scaling>
          <c:orientation val="minMax"/>
          <c:max val="13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3871"/>
        <c:crosses val="autoZero"/>
        <c:crossBetween val="midCat"/>
        <c:majorUnit val="5"/>
        <c:minorUnit val="5"/>
      </c:valAx>
      <c:valAx>
        <c:axId val="105952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2431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 2 -Rangos dinamicos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8.2381790123456797E-2"/>
          <c:y val="0.11074870370370372"/>
          <c:w val="0.86752376543209875"/>
          <c:h val="0.8085279629629629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'Carta 0'!$AC$6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'Carta 0'!$R$7:$R$157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0'!$AC$7:$AC$157</c:f>
              <c:numCache>
                <c:formatCode>0.00</c:formatCode>
                <c:ptCount val="151"/>
                <c:pt idx="0">
                  <c:v>4.2444444444444479E-2</c:v>
                </c:pt>
                <c:pt idx="1">
                  <c:v>4.2444444444444479E-2</c:v>
                </c:pt>
                <c:pt idx="2">
                  <c:v>4.2444444444444479E-2</c:v>
                </c:pt>
                <c:pt idx="3">
                  <c:v>4.2444444444444479E-2</c:v>
                </c:pt>
                <c:pt idx="4">
                  <c:v>4.2444444444444479E-2</c:v>
                </c:pt>
                <c:pt idx="5">
                  <c:v>4.2444444444444479E-2</c:v>
                </c:pt>
                <c:pt idx="6">
                  <c:v>4.2444444444444479E-2</c:v>
                </c:pt>
                <c:pt idx="7">
                  <c:v>4.2444444444444479E-2</c:v>
                </c:pt>
                <c:pt idx="8">
                  <c:v>4.2444444444444479E-2</c:v>
                </c:pt>
                <c:pt idx="9">
                  <c:v>4.2444444444444479E-2</c:v>
                </c:pt>
                <c:pt idx="10">
                  <c:v>4.2444444444444479E-2</c:v>
                </c:pt>
                <c:pt idx="11">
                  <c:v>4.2444444444444479E-2</c:v>
                </c:pt>
                <c:pt idx="12">
                  <c:v>4.2444444444444479E-2</c:v>
                </c:pt>
                <c:pt idx="13">
                  <c:v>4.2444444444444479E-2</c:v>
                </c:pt>
                <c:pt idx="14">
                  <c:v>4.2444444444444479E-2</c:v>
                </c:pt>
                <c:pt idx="15">
                  <c:v>4.2444444444444479E-2</c:v>
                </c:pt>
                <c:pt idx="16">
                  <c:v>4.2444444444444479E-2</c:v>
                </c:pt>
                <c:pt idx="17">
                  <c:v>4.2444444444444479E-2</c:v>
                </c:pt>
                <c:pt idx="18">
                  <c:v>4.2444444444444479E-2</c:v>
                </c:pt>
                <c:pt idx="19">
                  <c:v>4.2444444444444479E-2</c:v>
                </c:pt>
                <c:pt idx="20">
                  <c:v>4.2444444444444479E-2</c:v>
                </c:pt>
                <c:pt idx="21">
                  <c:v>4.2444444444444479E-2</c:v>
                </c:pt>
                <c:pt idx="22">
                  <c:v>4.2444444444444479E-2</c:v>
                </c:pt>
                <c:pt idx="23">
                  <c:v>4.2444444444444479E-2</c:v>
                </c:pt>
                <c:pt idx="24">
                  <c:v>4.2444444444444479E-2</c:v>
                </c:pt>
                <c:pt idx="25">
                  <c:v>4.2444444444444479E-2</c:v>
                </c:pt>
                <c:pt idx="26">
                  <c:v>4.2444444444444479E-2</c:v>
                </c:pt>
                <c:pt idx="27">
                  <c:v>4.2444444444444479E-2</c:v>
                </c:pt>
                <c:pt idx="28">
                  <c:v>4.2444444444444479E-2</c:v>
                </c:pt>
                <c:pt idx="29">
                  <c:v>4.2444444444444479E-2</c:v>
                </c:pt>
                <c:pt idx="30">
                  <c:v>4.2444444444444479E-2</c:v>
                </c:pt>
                <c:pt idx="31">
                  <c:v>4.2444444444444479E-2</c:v>
                </c:pt>
                <c:pt idx="32">
                  <c:v>4.2444444444444479E-2</c:v>
                </c:pt>
                <c:pt idx="33">
                  <c:v>4.2444444444444479E-2</c:v>
                </c:pt>
                <c:pt idx="34">
                  <c:v>4.2444444444444479E-2</c:v>
                </c:pt>
                <c:pt idx="35">
                  <c:v>4.2444444444444479E-2</c:v>
                </c:pt>
                <c:pt idx="36">
                  <c:v>4.2444444444444479E-2</c:v>
                </c:pt>
                <c:pt idx="37">
                  <c:v>4.2444444444444479E-2</c:v>
                </c:pt>
                <c:pt idx="38">
                  <c:v>4.2444444444444479E-2</c:v>
                </c:pt>
                <c:pt idx="39">
                  <c:v>4.2444444444444479E-2</c:v>
                </c:pt>
                <c:pt idx="40">
                  <c:v>4.2444444444444479E-2</c:v>
                </c:pt>
                <c:pt idx="41">
                  <c:v>4.2444444444444479E-2</c:v>
                </c:pt>
                <c:pt idx="42">
                  <c:v>4.2444444444444479E-2</c:v>
                </c:pt>
                <c:pt idx="43">
                  <c:v>4.2444444444444479E-2</c:v>
                </c:pt>
                <c:pt idx="44">
                  <c:v>4.2444444444444479E-2</c:v>
                </c:pt>
                <c:pt idx="45">
                  <c:v>4.2444444444444479E-2</c:v>
                </c:pt>
                <c:pt idx="46">
                  <c:v>4.2444444444444479E-2</c:v>
                </c:pt>
                <c:pt idx="47">
                  <c:v>4.2444444444444479E-2</c:v>
                </c:pt>
                <c:pt idx="48">
                  <c:v>4.2444444444444479E-2</c:v>
                </c:pt>
                <c:pt idx="49">
                  <c:v>4.2444444444444479E-2</c:v>
                </c:pt>
                <c:pt idx="50">
                  <c:v>4.2444444444444479E-2</c:v>
                </c:pt>
                <c:pt idx="51">
                  <c:v>4.2444444444444479E-2</c:v>
                </c:pt>
                <c:pt idx="52">
                  <c:v>4.2444444444444479E-2</c:v>
                </c:pt>
                <c:pt idx="53">
                  <c:v>4.2444444444444479E-2</c:v>
                </c:pt>
                <c:pt idx="54">
                  <c:v>4.2444444444444479E-2</c:v>
                </c:pt>
                <c:pt idx="55">
                  <c:v>4.2444444444444479E-2</c:v>
                </c:pt>
                <c:pt idx="56">
                  <c:v>4.2444444444444479E-2</c:v>
                </c:pt>
                <c:pt idx="57">
                  <c:v>4.2444444444444479E-2</c:v>
                </c:pt>
                <c:pt idx="58">
                  <c:v>4.2444444444444479E-2</c:v>
                </c:pt>
                <c:pt idx="59">
                  <c:v>4.2444444444444479E-2</c:v>
                </c:pt>
                <c:pt idx="60">
                  <c:v>4.2444444444444479E-2</c:v>
                </c:pt>
                <c:pt idx="61">
                  <c:v>4.2444444444444479E-2</c:v>
                </c:pt>
                <c:pt idx="62">
                  <c:v>4.2444444444444479E-2</c:v>
                </c:pt>
                <c:pt idx="63">
                  <c:v>4.2444444444444479E-2</c:v>
                </c:pt>
                <c:pt idx="64">
                  <c:v>4.2444444444444479E-2</c:v>
                </c:pt>
                <c:pt idx="65">
                  <c:v>4.2444444444444479E-2</c:v>
                </c:pt>
                <c:pt idx="66">
                  <c:v>4.2444444444444479E-2</c:v>
                </c:pt>
                <c:pt idx="67">
                  <c:v>4.2444444444444479E-2</c:v>
                </c:pt>
                <c:pt idx="68">
                  <c:v>4.2444444444444479E-2</c:v>
                </c:pt>
                <c:pt idx="69">
                  <c:v>4.2444444444444479E-2</c:v>
                </c:pt>
                <c:pt idx="70">
                  <c:v>4.2444444444444479E-2</c:v>
                </c:pt>
                <c:pt idx="71">
                  <c:v>4.2444444444444479E-2</c:v>
                </c:pt>
                <c:pt idx="72">
                  <c:v>4.2444444444444479E-2</c:v>
                </c:pt>
                <c:pt idx="73">
                  <c:v>4.2444444444444479E-2</c:v>
                </c:pt>
                <c:pt idx="74">
                  <c:v>4.2444444444444479E-2</c:v>
                </c:pt>
                <c:pt idx="75">
                  <c:v>4.2444444444444479E-2</c:v>
                </c:pt>
                <c:pt idx="76">
                  <c:v>4.2444444444444479E-2</c:v>
                </c:pt>
                <c:pt idx="77">
                  <c:v>4.2444444444444479E-2</c:v>
                </c:pt>
                <c:pt idx="78">
                  <c:v>4.2444444444444479E-2</c:v>
                </c:pt>
                <c:pt idx="79">
                  <c:v>4.2444444444444479E-2</c:v>
                </c:pt>
                <c:pt idx="80">
                  <c:v>4.2444444444444479E-2</c:v>
                </c:pt>
                <c:pt idx="81">
                  <c:v>4.2444444444444479E-2</c:v>
                </c:pt>
                <c:pt idx="82">
                  <c:v>4.2444444444444479E-2</c:v>
                </c:pt>
                <c:pt idx="83">
                  <c:v>4.2444444444444479E-2</c:v>
                </c:pt>
                <c:pt idx="84">
                  <c:v>4.2444444444444479E-2</c:v>
                </c:pt>
                <c:pt idx="85">
                  <c:v>4.2444444444444479E-2</c:v>
                </c:pt>
                <c:pt idx="86">
                  <c:v>4.2444444444444479E-2</c:v>
                </c:pt>
                <c:pt idx="87">
                  <c:v>4.2444444444444479E-2</c:v>
                </c:pt>
                <c:pt idx="88">
                  <c:v>4.2444444444444479E-2</c:v>
                </c:pt>
                <c:pt idx="89">
                  <c:v>4.2444444444444479E-2</c:v>
                </c:pt>
                <c:pt idx="90">
                  <c:v>4.2444444444444479E-2</c:v>
                </c:pt>
                <c:pt idx="91">
                  <c:v>4.2444444444444479E-2</c:v>
                </c:pt>
                <c:pt idx="92">
                  <c:v>4.2444444444444479E-2</c:v>
                </c:pt>
                <c:pt idx="93">
                  <c:v>4.2444444444444479E-2</c:v>
                </c:pt>
                <c:pt idx="94">
                  <c:v>4.2444444444444479E-2</c:v>
                </c:pt>
                <c:pt idx="95">
                  <c:v>4.2444444444444479E-2</c:v>
                </c:pt>
                <c:pt idx="96">
                  <c:v>4.2444444444444479E-2</c:v>
                </c:pt>
                <c:pt idx="97">
                  <c:v>4.2444444444444479E-2</c:v>
                </c:pt>
                <c:pt idx="98">
                  <c:v>4.2444444444444479E-2</c:v>
                </c:pt>
                <c:pt idx="99">
                  <c:v>4.2444444444444479E-2</c:v>
                </c:pt>
                <c:pt idx="100">
                  <c:v>4.2444444444444479E-2</c:v>
                </c:pt>
                <c:pt idx="101">
                  <c:v>4.2444444444444479E-2</c:v>
                </c:pt>
                <c:pt idx="102">
                  <c:v>4.2444444444444479E-2</c:v>
                </c:pt>
                <c:pt idx="103">
                  <c:v>4.2444444444444479E-2</c:v>
                </c:pt>
                <c:pt idx="104">
                  <c:v>4.2444444444444479E-2</c:v>
                </c:pt>
                <c:pt idx="105">
                  <c:v>4.2444444444444479E-2</c:v>
                </c:pt>
                <c:pt idx="106">
                  <c:v>4.2444444444444479E-2</c:v>
                </c:pt>
                <c:pt idx="107">
                  <c:v>4.2444444444444479E-2</c:v>
                </c:pt>
                <c:pt idx="108">
                  <c:v>4.2444444444444479E-2</c:v>
                </c:pt>
                <c:pt idx="109">
                  <c:v>4.2444444444444479E-2</c:v>
                </c:pt>
                <c:pt idx="110">
                  <c:v>4.2444444444444479E-2</c:v>
                </c:pt>
                <c:pt idx="111">
                  <c:v>4.2444444444444479E-2</c:v>
                </c:pt>
                <c:pt idx="112">
                  <c:v>4.2444444444444479E-2</c:v>
                </c:pt>
                <c:pt idx="113">
                  <c:v>4.2444444444444479E-2</c:v>
                </c:pt>
                <c:pt idx="114">
                  <c:v>4.2444444444444479E-2</c:v>
                </c:pt>
                <c:pt idx="115">
                  <c:v>4.2444444444444479E-2</c:v>
                </c:pt>
                <c:pt idx="116">
                  <c:v>4.2444444444444479E-2</c:v>
                </c:pt>
                <c:pt idx="117">
                  <c:v>4.2444444444444479E-2</c:v>
                </c:pt>
                <c:pt idx="118">
                  <c:v>4.2444444444444479E-2</c:v>
                </c:pt>
                <c:pt idx="119">
                  <c:v>4.2444444444444479E-2</c:v>
                </c:pt>
                <c:pt idx="120">
                  <c:v>4.2444444444444479E-2</c:v>
                </c:pt>
                <c:pt idx="121">
                  <c:v>4.2444444444444479E-2</c:v>
                </c:pt>
                <c:pt idx="122">
                  <c:v>4.2444444444444479E-2</c:v>
                </c:pt>
                <c:pt idx="123">
                  <c:v>4.2444444444444479E-2</c:v>
                </c:pt>
                <c:pt idx="124">
                  <c:v>4.2444444444444479E-2</c:v>
                </c:pt>
                <c:pt idx="125">
                  <c:v>4.2444444444444479E-2</c:v>
                </c:pt>
                <c:pt idx="126">
                  <c:v>4.2444444444444479E-2</c:v>
                </c:pt>
                <c:pt idx="127">
                  <c:v>4.2444444444444479E-2</c:v>
                </c:pt>
                <c:pt idx="128">
                  <c:v>4.2444444444444479E-2</c:v>
                </c:pt>
                <c:pt idx="129">
                  <c:v>4.2444444444444479E-2</c:v>
                </c:pt>
                <c:pt idx="130">
                  <c:v>4.2444444444444479E-2</c:v>
                </c:pt>
                <c:pt idx="131">
                  <c:v>4.2444444444444479E-2</c:v>
                </c:pt>
                <c:pt idx="132">
                  <c:v>4.2444444444444479E-2</c:v>
                </c:pt>
                <c:pt idx="133">
                  <c:v>4.2444444444444479E-2</c:v>
                </c:pt>
                <c:pt idx="134">
                  <c:v>4.2444444444444479E-2</c:v>
                </c:pt>
                <c:pt idx="135">
                  <c:v>4.2444444444444479E-2</c:v>
                </c:pt>
                <c:pt idx="136">
                  <c:v>4.2444444444444479E-2</c:v>
                </c:pt>
                <c:pt idx="137">
                  <c:v>4.2444444444444479E-2</c:v>
                </c:pt>
                <c:pt idx="138">
                  <c:v>4.2444444444444479E-2</c:v>
                </c:pt>
                <c:pt idx="139">
                  <c:v>4.2444444444444479E-2</c:v>
                </c:pt>
                <c:pt idx="140">
                  <c:v>4.2444444444444479E-2</c:v>
                </c:pt>
                <c:pt idx="141">
                  <c:v>4.2444444444444479E-2</c:v>
                </c:pt>
                <c:pt idx="142">
                  <c:v>4.2444444444444479E-2</c:v>
                </c:pt>
                <c:pt idx="143">
                  <c:v>4.2444444444444479E-2</c:v>
                </c:pt>
                <c:pt idx="144">
                  <c:v>4.2444444444444479E-2</c:v>
                </c:pt>
                <c:pt idx="145">
                  <c:v>4.2444444444444479E-2</c:v>
                </c:pt>
                <c:pt idx="146">
                  <c:v>4.2444444444444479E-2</c:v>
                </c:pt>
                <c:pt idx="147">
                  <c:v>4.2444444444444479E-2</c:v>
                </c:pt>
                <c:pt idx="148">
                  <c:v>4.2444444444444479E-2</c:v>
                </c:pt>
                <c:pt idx="149">
                  <c:v>4.2444444444444479E-2</c:v>
                </c:pt>
                <c:pt idx="150">
                  <c:v>4.2444444444444479E-2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86-4F17-B934-B2468E28BF0C}"/>
            </c:ext>
          </c:extLst>
        </c:ser>
        <c:ser>
          <c:idx val="2"/>
          <c:order val="1"/>
          <c:tx>
            <c:strRef>
              <c:f>'Carta 0'!$AD$6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0'!$R$7:$R$157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0'!$AD$7:$AD$157</c:f>
              <c:numCache>
                <c:formatCode>General</c:formatCode>
                <c:ptCount val="151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86-4F17-B934-B2468E28BF0C}"/>
            </c:ext>
          </c:extLst>
        </c:ser>
        <c:ser>
          <c:idx val="3"/>
          <c:order val="2"/>
          <c:tx>
            <c:strRef>
              <c:f>'Carta 0'!$AE$6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0'!$R$7:$R$157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0'!$AE$7:$AE$157</c:f>
              <c:numCache>
                <c:formatCode>0.00</c:formatCode>
                <c:ptCount val="151"/>
                <c:pt idx="0">
                  <c:v>0.13873391111111122</c:v>
                </c:pt>
                <c:pt idx="1">
                  <c:v>0.13873391111111122</c:v>
                </c:pt>
                <c:pt idx="2">
                  <c:v>0.13873391111111122</c:v>
                </c:pt>
                <c:pt idx="3">
                  <c:v>0.13873391111111122</c:v>
                </c:pt>
                <c:pt idx="4">
                  <c:v>0.13873391111111122</c:v>
                </c:pt>
                <c:pt idx="5">
                  <c:v>0.13873391111111122</c:v>
                </c:pt>
                <c:pt idx="6">
                  <c:v>0.13873391111111122</c:v>
                </c:pt>
                <c:pt idx="7">
                  <c:v>0.13873391111111122</c:v>
                </c:pt>
                <c:pt idx="8">
                  <c:v>0.13873391111111122</c:v>
                </c:pt>
                <c:pt idx="9">
                  <c:v>0.13873391111111122</c:v>
                </c:pt>
                <c:pt idx="10">
                  <c:v>0.13873391111111122</c:v>
                </c:pt>
                <c:pt idx="11">
                  <c:v>0.13873391111111122</c:v>
                </c:pt>
                <c:pt idx="12">
                  <c:v>0.13873391111111122</c:v>
                </c:pt>
                <c:pt idx="13">
                  <c:v>0.13873391111111122</c:v>
                </c:pt>
                <c:pt idx="14">
                  <c:v>0.13873391111111122</c:v>
                </c:pt>
                <c:pt idx="15">
                  <c:v>0.13873391111111122</c:v>
                </c:pt>
                <c:pt idx="16">
                  <c:v>0.13873391111111122</c:v>
                </c:pt>
                <c:pt idx="17">
                  <c:v>0.13873391111111122</c:v>
                </c:pt>
                <c:pt idx="18">
                  <c:v>0.13873391111111122</c:v>
                </c:pt>
                <c:pt idx="19">
                  <c:v>0.13873391111111122</c:v>
                </c:pt>
                <c:pt idx="20">
                  <c:v>0.13873391111111122</c:v>
                </c:pt>
                <c:pt idx="21">
                  <c:v>0.13873391111111122</c:v>
                </c:pt>
                <c:pt idx="22">
                  <c:v>0.13873391111111122</c:v>
                </c:pt>
                <c:pt idx="23">
                  <c:v>0.13873391111111122</c:v>
                </c:pt>
                <c:pt idx="24">
                  <c:v>0.13873391111111122</c:v>
                </c:pt>
                <c:pt idx="25">
                  <c:v>0.13873391111111122</c:v>
                </c:pt>
                <c:pt idx="26">
                  <c:v>0.13873391111111122</c:v>
                </c:pt>
                <c:pt idx="27">
                  <c:v>0.13873391111111122</c:v>
                </c:pt>
                <c:pt idx="28">
                  <c:v>0.13873391111111122</c:v>
                </c:pt>
                <c:pt idx="29">
                  <c:v>0.13873391111111122</c:v>
                </c:pt>
                <c:pt idx="30">
                  <c:v>0.13873391111111122</c:v>
                </c:pt>
                <c:pt idx="31">
                  <c:v>0.13873391111111122</c:v>
                </c:pt>
                <c:pt idx="32">
                  <c:v>0.13873391111111122</c:v>
                </c:pt>
                <c:pt idx="33">
                  <c:v>0.13873391111111122</c:v>
                </c:pt>
                <c:pt idx="34">
                  <c:v>0.13873391111111122</c:v>
                </c:pt>
                <c:pt idx="35">
                  <c:v>0.13873391111111122</c:v>
                </c:pt>
                <c:pt idx="36">
                  <c:v>0.13873391111111122</c:v>
                </c:pt>
                <c:pt idx="37">
                  <c:v>0.13873391111111122</c:v>
                </c:pt>
                <c:pt idx="38">
                  <c:v>0.13873391111111122</c:v>
                </c:pt>
                <c:pt idx="39">
                  <c:v>0.13873391111111122</c:v>
                </c:pt>
                <c:pt idx="40">
                  <c:v>0.13873391111111122</c:v>
                </c:pt>
                <c:pt idx="41">
                  <c:v>0.13873391111111122</c:v>
                </c:pt>
                <c:pt idx="42">
                  <c:v>0.13873391111111122</c:v>
                </c:pt>
                <c:pt idx="43">
                  <c:v>0.13873391111111122</c:v>
                </c:pt>
                <c:pt idx="44">
                  <c:v>0.13873391111111122</c:v>
                </c:pt>
                <c:pt idx="45">
                  <c:v>0.13873391111111122</c:v>
                </c:pt>
                <c:pt idx="46">
                  <c:v>0.13873391111111122</c:v>
                </c:pt>
                <c:pt idx="47">
                  <c:v>0.13873391111111122</c:v>
                </c:pt>
                <c:pt idx="48">
                  <c:v>0.13873391111111122</c:v>
                </c:pt>
                <c:pt idx="49">
                  <c:v>0.13873391111111122</c:v>
                </c:pt>
                <c:pt idx="50">
                  <c:v>0.13873391111111122</c:v>
                </c:pt>
                <c:pt idx="51">
                  <c:v>0.13873391111111122</c:v>
                </c:pt>
                <c:pt idx="52">
                  <c:v>0.13873391111111122</c:v>
                </c:pt>
                <c:pt idx="53">
                  <c:v>0.13873391111111122</c:v>
                </c:pt>
                <c:pt idx="54">
                  <c:v>0.13873391111111122</c:v>
                </c:pt>
                <c:pt idx="55">
                  <c:v>0.13873391111111122</c:v>
                </c:pt>
                <c:pt idx="56">
                  <c:v>0.13873391111111122</c:v>
                </c:pt>
                <c:pt idx="57">
                  <c:v>0.13873391111111122</c:v>
                </c:pt>
                <c:pt idx="58">
                  <c:v>0.13873391111111122</c:v>
                </c:pt>
                <c:pt idx="59">
                  <c:v>0.13873391111111122</c:v>
                </c:pt>
                <c:pt idx="60">
                  <c:v>0.13873391111111122</c:v>
                </c:pt>
                <c:pt idx="61">
                  <c:v>0.13873391111111122</c:v>
                </c:pt>
                <c:pt idx="62">
                  <c:v>0.13873391111111122</c:v>
                </c:pt>
                <c:pt idx="63">
                  <c:v>0.13873391111111122</c:v>
                </c:pt>
                <c:pt idx="64">
                  <c:v>0.13873391111111122</c:v>
                </c:pt>
                <c:pt idx="65">
                  <c:v>0.13873391111111122</c:v>
                </c:pt>
                <c:pt idx="66">
                  <c:v>0.13873391111111122</c:v>
                </c:pt>
                <c:pt idx="67">
                  <c:v>0.13873391111111122</c:v>
                </c:pt>
                <c:pt idx="68">
                  <c:v>0.13873391111111122</c:v>
                </c:pt>
                <c:pt idx="69">
                  <c:v>0.13873391111111122</c:v>
                </c:pt>
                <c:pt idx="70">
                  <c:v>0.13873391111111122</c:v>
                </c:pt>
                <c:pt idx="71">
                  <c:v>0.13873391111111122</c:v>
                </c:pt>
                <c:pt idx="72">
                  <c:v>0.13873391111111122</c:v>
                </c:pt>
                <c:pt idx="73">
                  <c:v>0.13873391111111122</c:v>
                </c:pt>
                <c:pt idx="74">
                  <c:v>0.13873391111111122</c:v>
                </c:pt>
                <c:pt idx="75">
                  <c:v>0.13873391111111122</c:v>
                </c:pt>
                <c:pt idx="76">
                  <c:v>0.13873391111111122</c:v>
                </c:pt>
                <c:pt idx="77">
                  <c:v>0.13873391111111122</c:v>
                </c:pt>
                <c:pt idx="78">
                  <c:v>0.13873391111111122</c:v>
                </c:pt>
                <c:pt idx="79">
                  <c:v>0.13873391111111122</c:v>
                </c:pt>
                <c:pt idx="80">
                  <c:v>0.13873391111111122</c:v>
                </c:pt>
                <c:pt idx="81">
                  <c:v>0.13873391111111122</c:v>
                </c:pt>
                <c:pt idx="82">
                  <c:v>0.13873391111111122</c:v>
                </c:pt>
                <c:pt idx="83">
                  <c:v>0.13873391111111122</c:v>
                </c:pt>
                <c:pt idx="84">
                  <c:v>0.13873391111111122</c:v>
                </c:pt>
                <c:pt idx="85">
                  <c:v>0.13873391111111122</c:v>
                </c:pt>
                <c:pt idx="86">
                  <c:v>0.13873391111111122</c:v>
                </c:pt>
                <c:pt idx="87">
                  <c:v>0.13873391111111122</c:v>
                </c:pt>
                <c:pt idx="88">
                  <c:v>0.13873391111111122</c:v>
                </c:pt>
                <c:pt idx="89">
                  <c:v>0.13873391111111122</c:v>
                </c:pt>
                <c:pt idx="90">
                  <c:v>0.13873391111111122</c:v>
                </c:pt>
                <c:pt idx="91">
                  <c:v>0.13873391111111122</c:v>
                </c:pt>
                <c:pt idx="92">
                  <c:v>0.13873391111111122</c:v>
                </c:pt>
                <c:pt idx="93">
                  <c:v>0.13873391111111122</c:v>
                </c:pt>
                <c:pt idx="94">
                  <c:v>0.13873391111111122</c:v>
                </c:pt>
                <c:pt idx="95">
                  <c:v>0.13873391111111122</c:v>
                </c:pt>
                <c:pt idx="96">
                  <c:v>0.13873391111111122</c:v>
                </c:pt>
                <c:pt idx="97">
                  <c:v>0.13873391111111122</c:v>
                </c:pt>
                <c:pt idx="98">
                  <c:v>0.13873391111111122</c:v>
                </c:pt>
                <c:pt idx="99">
                  <c:v>0.13873391111111122</c:v>
                </c:pt>
                <c:pt idx="100">
                  <c:v>0.13873391111111122</c:v>
                </c:pt>
                <c:pt idx="101">
                  <c:v>0.13873391111111122</c:v>
                </c:pt>
                <c:pt idx="102">
                  <c:v>0.13873391111111122</c:v>
                </c:pt>
                <c:pt idx="103">
                  <c:v>0.13873391111111122</c:v>
                </c:pt>
                <c:pt idx="104">
                  <c:v>0.13873391111111122</c:v>
                </c:pt>
                <c:pt idx="105">
                  <c:v>0.13873391111111122</c:v>
                </c:pt>
                <c:pt idx="106">
                  <c:v>0.13873391111111122</c:v>
                </c:pt>
                <c:pt idx="107">
                  <c:v>0.13873391111111122</c:v>
                </c:pt>
                <c:pt idx="108">
                  <c:v>0.13873391111111122</c:v>
                </c:pt>
                <c:pt idx="109">
                  <c:v>0.13873391111111122</c:v>
                </c:pt>
                <c:pt idx="110">
                  <c:v>0.13873391111111122</c:v>
                </c:pt>
                <c:pt idx="111">
                  <c:v>0.13873391111111122</c:v>
                </c:pt>
                <c:pt idx="112">
                  <c:v>0.13873391111111122</c:v>
                </c:pt>
                <c:pt idx="113">
                  <c:v>0.13873391111111122</c:v>
                </c:pt>
                <c:pt idx="114">
                  <c:v>0.13873391111111122</c:v>
                </c:pt>
                <c:pt idx="115">
                  <c:v>0.13873391111111122</c:v>
                </c:pt>
                <c:pt idx="116">
                  <c:v>0.13873391111111122</c:v>
                </c:pt>
                <c:pt idx="117">
                  <c:v>0.13873391111111122</c:v>
                </c:pt>
                <c:pt idx="118">
                  <c:v>0.13873391111111122</c:v>
                </c:pt>
                <c:pt idx="119">
                  <c:v>0.13873391111111122</c:v>
                </c:pt>
                <c:pt idx="120">
                  <c:v>0.13873391111111122</c:v>
                </c:pt>
                <c:pt idx="121">
                  <c:v>0.13873391111111122</c:v>
                </c:pt>
                <c:pt idx="122">
                  <c:v>0.13873391111111122</c:v>
                </c:pt>
                <c:pt idx="123">
                  <c:v>0.13873391111111122</c:v>
                </c:pt>
                <c:pt idx="124">
                  <c:v>0.13873391111111122</c:v>
                </c:pt>
                <c:pt idx="125">
                  <c:v>0.13873391111111122</c:v>
                </c:pt>
                <c:pt idx="126">
                  <c:v>0.13873391111111122</c:v>
                </c:pt>
                <c:pt idx="127">
                  <c:v>0.13873391111111122</c:v>
                </c:pt>
                <c:pt idx="128">
                  <c:v>0.13873391111111122</c:v>
                </c:pt>
                <c:pt idx="129">
                  <c:v>0.13873391111111122</c:v>
                </c:pt>
                <c:pt idx="130">
                  <c:v>0.13873391111111122</c:v>
                </c:pt>
                <c:pt idx="131">
                  <c:v>0.13873391111111122</c:v>
                </c:pt>
                <c:pt idx="132">
                  <c:v>0.13873391111111122</c:v>
                </c:pt>
                <c:pt idx="133">
                  <c:v>0.13873391111111122</c:v>
                </c:pt>
                <c:pt idx="134">
                  <c:v>0.13873391111111122</c:v>
                </c:pt>
                <c:pt idx="135">
                  <c:v>0.13873391111111122</c:v>
                </c:pt>
                <c:pt idx="136">
                  <c:v>0.13873391111111122</c:v>
                </c:pt>
                <c:pt idx="137">
                  <c:v>0.13873391111111122</c:v>
                </c:pt>
                <c:pt idx="138">
                  <c:v>0.13873391111111122</c:v>
                </c:pt>
                <c:pt idx="139">
                  <c:v>0.13873391111111122</c:v>
                </c:pt>
                <c:pt idx="140">
                  <c:v>0.13873391111111122</c:v>
                </c:pt>
                <c:pt idx="141">
                  <c:v>0.13873391111111122</c:v>
                </c:pt>
                <c:pt idx="142">
                  <c:v>0.13873391111111122</c:v>
                </c:pt>
                <c:pt idx="143">
                  <c:v>0.13873391111111122</c:v>
                </c:pt>
                <c:pt idx="144">
                  <c:v>0.13873391111111122</c:v>
                </c:pt>
                <c:pt idx="145">
                  <c:v>0.13873391111111122</c:v>
                </c:pt>
                <c:pt idx="146">
                  <c:v>0.13873391111111122</c:v>
                </c:pt>
                <c:pt idx="147">
                  <c:v>0.13873391111111122</c:v>
                </c:pt>
                <c:pt idx="148">
                  <c:v>0.13873391111111122</c:v>
                </c:pt>
                <c:pt idx="149">
                  <c:v>0.13873391111111122</c:v>
                </c:pt>
                <c:pt idx="150">
                  <c:v>0.13873391111111122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86-4F17-B934-B2468E28BF0C}"/>
            </c:ext>
          </c:extLst>
        </c:ser>
        <c:ser>
          <c:idx val="0"/>
          <c:order val="3"/>
          <c:tx>
            <c:strRef>
              <c:f>'Carta 0'!$AB$6</c:f>
              <c:strCache>
                <c:ptCount val="1"/>
                <c:pt idx="0">
                  <c:v>rango movil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'Carta 0'!$R$7:$R$107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'Carta 0'!$AB$7:$AB$107</c:f>
              <c:numCache>
                <c:formatCode>General</c:formatCode>
                <c:ptCount val="101"/>
                <c:pt idx="2">
                  <c:v>3.5000000000000142E-2</c:v>
                </c:pt>
                <c:pt idx="3">
                  <c:v>1.8000000000000682E-2</c:v>
                </c:pt>
                <c:pt idx="4">
                  <c:v>2.8999999999999915E-2</c:v>
                </c:pt>
                <c:pt idx="5">
                  <c:v>9.9999999999997868E-3</c:v>
                </c:pt>
                <c:pt idx="6">
                  <c:v>3.0000000000000249E-2</c:v>
                </c:pt>
                <c:pt idx="7">
                  <c:v>9.9999999999997868E-3</c:v>
                </c:pt>
                <c:pt idx="8">
                  <c:v>1.6000000000000014E-2</c:v>
                </c:pt>
                <c:pt idx="9">
                  <c:v>1.6000000000000014E-2</c:v>
                </c:pt>
                <c:pt idx="10">
                  <c:v>0</c:v>
                </c:pt>
                <c:pt idx="11">
                  <c:v>0</c:v>
                </c:pt>
                <c:pt idx="12">
                  <c:v>9.9999999999997868E-3</c:v>
                </c:pt>
                <c:pt idx="13">
                  <c:v>2.0000000000000462E-2</c:v>
                </c:pt>
                <c:pt idx="14">
                  <c:v>3.0000000000000249E-2</c:v>
                </c:pt>
                <c:pt idx="15">
                  <c:v>5.0000000000000711E-2</c:v>
                </c:pt>
                <c:pt idx="16">
                  <c:v>4.0000000000000036E-2</c:v>
                </c:pt>
                <c:pt idx="17">
                  <c:v>2.0000000000000462E-2</c:v>
                </c:pt>
                <c:pt idx="18">
                  <c:v>8.9999999999999858E-2</c:v>
                </c:pt>
                <c:pt idx="19">
                  <c:v>5.0000000000000711E-2</c:v>
                </c:pt>
                <c:pt idx="20">
                  <c:v>0.11000000000000032</c:v>
                </c:pt>
                <c:pt idx="21">
                  <c:v>9.9999999999997868E-3</c:v>
                </c:pt>
                <c:pt idx="22">
                  <c:v>5.9999999999999609E-2</c:v>
                </c:pt>
                <c:pt idx="23">
                  <c:v>0</c:v>
                </c:pt>
                <c:pt idx="24">
                  <c:v>8.0000000000000071E-2</c:v>
                </c:pt>
                <c:pt idx="25">
                  <c:v>8.0000000000000071E-2</c:v>
                </c:pt>
                <c:pt idx="26">
                  <c:v>8.9999999999999858E-2</c:v>
                </c:pt>
                <c:pt idx="27">
                  <c:v>0.12000000000000011</c:v>
                </c:pt>
                <c:pt idx="28">
                  <c:v>7.0000000000000284E-2</c:v>
                </c:pt>
                <c:pt idx="29">
                  <c:v>2.0000000000000462E-2</c:v>
                </c:pt>
                <c:pt idx="30">
                  <c:v>1.9999999999999574E-2</c:v>
                </c:pt>
                <c:pt idx="31">
                  <c:v>8.9999999999999858E-2</c:v>
                </c:pt>
                <c:pt idx="32">
                  <c:v>3.0000000000000249E-2</c:v>
                </c:pt>
                <c:pt idx="33">
                  <c:v>4.9999999999999822E-2</c:v>
                </c:pt>
                <c:pt idx="34">
                  <c:v>0.11000000000000032</c:v>
                </c:pt>
                <c:pt idx="35">
                  <c:v>8.0000000000000071E-2</c:v>
                </c:pt>
                <c:pt idx="36">
                  <c:v>5.9999999999999609E-2</c:v>
                </c:pt>
                <c:pt idx="37">
                  <c:v>8.0000000000000071E-2</c:v>
                </c:pt>
                <c:pt idx="38">
                  <c:v>6.0000000000000497E-2</c:v>
                </c:pt>
                <c:pt idx="39">
                  <c:v>9.9999999999997868E-3</c:v>
                </c:pt>
                <c:pt idx="40">
                  <c:v>4.9999999999999822E-2</c:v>
                </c:pt>
                <c:pt idx="41">
                  <c:v>0.12000000000000011</c:v>
                </c:pt>
                <c:pt idx="42">
                  <c:v>3.0000000000000249E-2</c:v>
                </c:pt>
                <c:pt idx="43">
                  <c:v>1.0000000000000675E-2</c:v>
                </c:pt>
                <c:pt idx="44">
                  <c:v>0</c:v>
                </c:pt>
                <c:pt idx="45">
                  <c:v>6.0000000000000497E-2</c:v>
                </c:pt>
                <c:pt idx="46">
                  <c:v>4.0000000000000036E-2</c:v>
                </c:pt>
                <c:pt idx="47">
                  <c:v>4.0000000000000036E-2</c:v>
                </c:pt>
                <c:pt idx="48">
                  <c:v>3.0000000000000249E-2</c:v>
                </c:pt>
                <c:pt idx="49">
                  <c:v>0</c:v>
                </c:pt>
                <c:pt idx="50">
                  <c:v>5.9999999999999609E-2</c:v>
                </c:pt>
                <c:pt idx="51">
                  <c:v>0.10999999999999943</c:v>
                </c:pt>
                <c:pt idx="52">
                  <c:v>9.9999999999997868E-3</c:v>
                </c:pt>
                <c:pt idx="53">
                  <c:v>5.9999999999999609E-2</c:v>
                </c:pt>
                <c:pt idx="54">
                  <c:v>9.9999999999999645E-2</c:v>
                </c:pt>
                <c:pt idx="55">
                  <c:v>3.0000000000000249E-2</c:v>
                </c:pt>
                <c:pt idx="56">
                  <c:v>4.0000000000000036E-2</c:v>
                </c:pt>
                <c:pt idx="57">
                  <c:v>9.9999999999997868E-3</c:v>
                </c:pt>
                <c:pt idx="58">
                  <c:v>8.9999999999999858E-2</c:v>
                </c:pt>
                <c:pt idx="59">
                  <c:v>0</c:v>
                </c:pt>
                <c:pt idx="60">
                  <c:v>0</c:v>
                </c:pt>
                <c:pt idx="61">
                  <c:v>0.12000000000000011</c:v>
                </c:pt>
                <c:pt idx="62">
                  <c:v>8.0000000000000071E-2</c:v>
                </c:pt>
                <c:pt idx="63">
                  <c:v>0</c:v>
                </c:pt>
                <c:pt idx="64">
                  <c:v>9.9999999999997868E-3</c:v>
                </c:pt>
                <c:pt idx="65">
                  <c:v>7.0000000000000284E-2</c:v>
                </c:pt>
                <c:pt idx="66">
                  <c:v>4.0000000000000036E-2</c:v>
                </c:pt>
                <c:pt idx="67">
                  <c:v>8.9999999999999858E-2</c:v>
                </c:pt>
                <c:pt idx="68">
                  <c:v>8.9999999999999858E-2</c:v>
                </c:pt>
                <c:pt idx="69">
                  <c:v>0.10000000000000053</c:v>
                </c:pt>
                <c:pt idx="70">
                  <c:v>3.0000000000000249E-2</c:v>
                </c:pt>
                <c:pt idx="71">
                  <c:v>5.9000000000000163E-2</c:v>
                </c:pt>
                <c:pt idx="72">
                  <c:v>8.9000000000000412E-2</c:v>
                </c:pt>
                <c:pt idx="73">
                  <c:v>4.9999999999999822E-2</c:v>
                </c:pt>
                <c:pt idx="74">
                  <c:v>1.0000000000000675E-2</c:v>
                </c:pt>
                <c:pt idx="75">
                  <c:v>1.0000000000000675E-2</c:v>
                </c:pt>
                <c:pt idx="76">
                  <c:v>0</c:v>
                </c:pt>
                <c:pt idx="77">
                  <c:v>1.9999999999999574E-2</c:v>
                </c:pt>
                <c:pt idx="78">
                  <c:v>4.0000000000000036E-2</c:v>
                </c:pt>
                <c:pt idx="79">
                  <c:v>2.0000000000000462E-2</c:v>
                </c:pt>
                <c:pt idx="80">
                  <c:v>4.0000000000000036E-2</c:v>
                </c:pt>
                <c:pt idx="81">
                  <c:v>1.9999999999999574E-2</c:v>
                </c:pt>
                <c:pt idx="82">
                  <c:v>4.0000000000000036E-2</c:v>
                </c:pt>
                <c:pt idx="83">
                  <c:v>0</c:v>
                </c:pt>
                <c:pt idx="84">
                  <c:v>0</c:v>
                </c:pt>
                <c:pt idx="85">
                  <c:v>4.9999999999999822E-2</c:v>
                </c:pt>
                <c:pt idx="86">
                  <c:v>9.9999999999999645E-2</c:v>
                </c:pt>
                <c:pt idx="87">
                  <c:v>4.9999999999999822E-2</c:v>
                </c:pt>
                <c:pt idx="88">
                  <c:v>3.0000000000000249E-2</c:v>
                </c:pt>
                <c:pt idx="89">
                  <c:v>6.0000000000000497E-2</c:v>
                </c:pt>
                <c:pt idx="90">
                  <c:v>2.0000000000000462E-2</c:v>
                </c:pt>
                <c:pt idx="91">
                  <c:v>2.9999999999999361E-2</c:v>
                </c:pt>
                <c:pt idx="92">
                  <c:v>2.9999999999999361E-2</c:v>
                </c:pt>
                <c:pt idx="93">
                  <c:v>2.0000000000000462E-2</c:v>
                </c:pt>
                <c:pt idx="94">
                  <c:v>1.9999999999999574E-2</c:v>
                </c:pt>
                <c:pt idx="95">
                  <c:v>2.9999999999999361E-2</c:v>
                </c:pt>
                <c:pt idx="96">
                  <c:v>4.9999999999999822E-2</c:v>
                </c:pt>
                <c:pt idx="97">
                  <c:v>3.0000000000000249E-2</c:v>
                </c:pt>
                <c:pt idx="98">
                  <c:v>9.9999999999997868E-3</c:v>
                </c:pt>
                <c:pt idx="99">
                  <c:v>9.9999999999997868E-3</c:v>
                </c:pt>
                <c:pt idx="100">
                  <c:v>4.0000000000000036E-2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86-4F17-B934-B2468E28B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432815"/>
        <c:axId val="1229439055"/>
      </c:scatterChart>
      <c:valAx>
        <c:axId val="1229432815"/>
        <c:scaling>
          <c:orientation val="minMax"/>
          <c:max val="15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9055"/>
        <c:crosses val="autoZero"/>
        <c:crossBetween val="midCat"/>
        <c:majorUnit val="5"/>
      </c:valAx>
      <c:valAx>
        <c:axId val="122943905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Rangos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2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 3 -Carta de Medias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7.4130196414950417E-2"/>
          <c:y val="0.12452277777777777"/>
          <c:w val="0.90820080091533184"/>
          <c:h val="0.7681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'Carta 0'!$AK$6</c:f>
              <c:strCache>
                <c:ptCount val="1"/>
                <c:pt idx="0">
                  <c:v>Promedio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'Carta 0'!$AI$7:$AI$157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0'!$AK$7:$AK$157</c:f>
              <c:numCache>
                <c:formatCode>0.000</c:formatCode>
                <c:ptCount val="151"/>
                <c:pt idx="0">
                  <c:v>25.808199999999989</c:v>
                </c:pt>
                <c:pt idx="1">
                  <c:v>25.808199999999989</c:v>
                </c:pt>
                <c:pt idx="2">
                  <c:v>25.808199999999989</c:v>
                </c:pt>
                <c:pt idx="3">
                  <c:v>25.808199999999989</c:v>
                </c:pt>
                <c:pt idx="4">
                  <c:v>25.808199999999989</c:v>
                </c:pt>
                <c:pt idx="5">
                  <c:v>25.808199999999989</c:v>
                </c:pt>
                <c:pt idx="6">
                  <c:v>25.808199999999989</c:v>
                </c:pt>
                <c:pt idx="7">
                  <c:v>25.808199999999989</c:v>
                </c:pt>
                <c:pt idx="8">
                  <c:v>25.808199999999989</c:v>
                </c:pt>
                <c:pt idx="9">
                  <c:v>25.808199999999989</c:v>
                </c:pt>
                <c:pt idx="10">
                  <c:v>25.808199999999989</c:v>
                </c:pt>
                <c:pt idx="11">
                  <c:v>25.808199999999989</c:v>
                </c:pt>
                <c:pt idx="12">
                  <c:v>25.808199999999989</c:v>
                </c:pt>
                <c:pt idx="13">
                  <c:v>25.808199999999989</c:v>
                </c:pt>
                <c:pt idx="14">
                  <c:v>25.808199999999989</c:v>
                </c:pt>
                <c:pt idx="15">
                  <c:v>25.808199999999989</c:v>
                </c:pt>
                <c:pt idx="16">
                  <c:v>25.808199999999989</c:v>
                </c:pt>
                <c:pt idx="17">
                  <c:v>25.808199999999989</c:v>
                </c:pt>
                <c:pt idx="18">
                  <c:v>25.808199999999989</c:v>
                </c:pt>
                <c:pt idx="19">
                  <c:v>25.808199999999989</c:v>
                </c:pt>
                <c:pt idx="20">
                  <c:v>25.808199999999989</c:v>
                </c:pt>
                <c:pt idx="21">
                  <c:v>25.808199999999989</c:v>
                </c:pt>
                <c:pt idx="22">
                  <c:v>25.808199999999989</c:v>
                </c:pt>
                <c:pt idx="23">
                  <c:v>25.808199999999989</c:v>
                </c:pt>
                <c:pt idx="24">
                  <c:v>25.808199999999989</c:v>
                </c:pt>
                <c:pt idx="25">
                  <c:v>25.808199999999989</c:v>
                </c:pt>
                <c:pt idx="26">
                  <c:v>25.808199999999989</c:v>
                </c:pt>
                <c:pt idx="27">
                  <c:v>25.808199999999989</c:v>
                </c:pt>
                <c:pt idx="28">
                  <c:v>25.808199999999989</c:v>
                </c:pt>
                <c:pt idx="29">
                  <c:v>25.808199999999989</c:v>
                </c:pt>
                <c:pt idx="30">
                  <c:v>25.808199999999989</c:v>
                </c:pt>
                <c:pt idx="31">
                  <c:v>25.808199999999989</c:v>
                </c:pt>
                <c:pt idx="32">
                  <c:v>25.808199999999989</c:v>
                </c:pt>
                <c:pt idx="33">
                  <c:v>25.808199999999989</c:v>
                </c:pt>
                <c:pt idx="34">
                  <c:v>25.808199999999989</c:v>
                </c:pt>
                <c:pt idx="35">
                  <c:v>25.808199999999989</c:v>
                </c:pt>
                <c:pt idx="36">
                  <c:v>25.808199999999989</c:v>
                </c:pt>
                <c:pt idx="37">
                  <c:v>25.808199999999989</c:v>
                </c:pt>
                <c:pt idx="38">
                  <c:v>25.808199999999989</c:v>
                </c:pt>
                <c:pt idx="39">
                  <c:v>25.808199999999989</c:v>
                </c:pt>
                <c:pt idx="40">
                  <c:v>25.808199999999989</c:v>
                </c:pt>
                <c:pt idx="41">
                  <c:v>25.808199999999989</c:v>
                </c:pt>
                <c:pt idx="42">
                  <c:v>25.808199999999989</c:v>
                </c:pt>
                <c:pt idx="43">
                  <c:v>25.808199999999989</c:v>
                </c:pt>
                <c:pt idx="44">
                  <c:v>25.808199999999989</c:v>
                </c:pt>
                <c:pt idx="45">
                  <c:v>25.808199999999989</c:v>
                </c:pt>
                <c:pt idx="46">
                  <c:v>25.808199999999989</c:v>
                </c:pt>
                <c:pt idx="47">
                  <c:v>25.808199999999989</c:v>
                </c:pt>
                <c:pt idx="48">
                  <c:v>25.808199999999989</c:v>
                </c:pt>
                <c:pt idx="49">
                  <c:v>25.808199999999989</c:v>
                </c:pt>
                <c:pt idx="50">
                  <c:v>25.808199999999989</c:v>
                </c:pt>
                <c:pt idx="51">
                  <c:v>25.808199999999989</c:v>
                </c:pt>
                <c:pt idx="52">
                  <c:v>25.808199999999989</c:v>
                </c:pt>
                <c:pt idx="53">
                  <c:v>25.808199999999989</c:v>
                </c:pt>
                <c:pt idx="54">
                  <c:v>25.808199999999989</c:v>
                </c:pt>
                <c:pt idx="55">
                  <c:v>25.808199999999989</c:v>
                </c:pt>
                <c:pt idx="56">
                  <c:v>25.808199999999989</c:v>
                </c:pt>
                <c:pt idx="57">
                  <c:v>25.808199999999989</c:v>
                </c:pt>
                <c:pt idx="58">
                  <c:v>25.808199999999989</c:v>
                </c:pt>
                <c:pt idx="59">
                  <c:v>25.808199999999989</c:v>
                </c:pt>
                <c:pt idx="60">
                  <c:v>25.808199999999989</c:v>
                </c:pt>
                <c:pt idx="61">
                  <c:v>25.808199999999989</c:v>
                </c:pt>
                <c:pt idx="62">
                  <c:v>25.808199999999989</c:v>
                </c:pt>
                <c:pt idx="63">
                  <c:v>25.808199999999989</c:v>
                </c:pt>
                <c:pt idx="64">
                  <c:v>25.808199999999989</c:v>
                </c:pt>
                <c:pt idx="65">
                  <c:v>25.808199999999989</c:v>
                </c:pt>
                <c:pt idx="66">
                  <c:v>25.808199999999989</c:v>
                </c:pt>
                <c:pt idx="67">
                  <c:v>25.808199999999989</c:v>
                </c:pt>
                <c:pt idx="68">
                  <c:v>25.808199999999989</c:v>
                </c:pt>
                <c:pt idx="69">
                  <c:v>25.808199999999989</c:v>
                </c:pt>
                <c:pt idx="70">
                  <c:v>25.808199999999989</c:v>
                </c:pt>
                <c:pt idx="71">
                  <c:v>25.808199999999989</c:v>
                </c:pt>
                <c:pt idx="72">
                  <c:v>25.808199999999989</c:v>
                </c:pt>
                <c:pt idx="73">
                  <c:v>25.808199999999989</c:v>
                </c:pt>
                <c:pt idx="74">
                  <c:v>25.808199999999989</c:v>
                </c:pt>
                <c:pt idx="75">
                  <c:v>25.808199999999989</c:v>
                </c:pt>
                <c:pt idx="76">
                  <c:v>25.808199999999989</c:v>
                </c:pt>
                <c:pt idx="77">
                  <c:v>25.808199999999989</c:v>
                </c:pt>
                <c:pt idx="78">
                  <c:v>25.808199999999989</c:v>
                </c:pt>
                <c:pt idx="79">
                  <c:v>25.808199999999989</c:v>
                </c:pt>
                <c:pt idx="80">
                  <c:v>25.808199999999989</c:v>
                </c:pt>
                <c:pt idx="81">
                  <c:v>25.808199999999989</c:v>
                </c:pt>
                <c:pt idx="82">
                  <c:v>25.808199999999989</c:v>
                </c:pt>
                <c:pt idx="83">
                  <c:v>25.808199999999989</c:v>
                </c:pt>
                <c:pt idx="84">
                  <c:v>25.808199999999989</c:v>
                </c:pt>
                <c:pt idx="85">
                  <c:v>25.808199999999989</c:v>
                </c:pt>
                <c:pt idx="86">
                  <c:v>25.808199999999989</c:v>
                </c:pt>
                <c:pt idx="87">
                  <c:v>25.808199999999989</c:v>
                </c:pt>
                <c:pt idx="88">
                  <c:v>25.808199999999989</c:v>
                </c:pt>
                <c:pt idx="89">
                  <c:v>25.808199999999989</c:v>
                </c:pt>
                <c:pt idx="90">
                  <c:v>25.808199999999989</c:v>
                </c:pt>
                <c:pt idx="91">
                  <c:v>25.808199999999989</c:v>
                </c:pt>
                <c:pt idx="92">
                  <c:v>25.808199999999989</c:v>
                </c:pt>
                <c:pt idx="93">
                  <c:v>25.808199999999989</c:v>
                </c:pt>
                <c:pt idx="94">
                  <c:v>25.808199999999989</c:v>
                </c:pt>
                <c:pt idx="95">
                  <c:v>25.808199999999989</c:v>
                </c:pt>
                <c:pt idx="96">
                  <c:v>25.808199999999989</c:v>
                </c:pt>
                <c:pt idx="97">
                  <c:v>25.808199999999989</c:v>
                </c:pt>
                <c:pt idx="98">
                  <c:v>25.808199999999989</c:v>
                </c:pt>
                <c:pt idx="99">
                  <c:v>25.808199999999989</c:v>
                </c:pt>
                <c:pt idx="100">
                  <c:v>25.808199999999989</c:v>
                </c:pt>
                <c:pt idx="101">
                  <c:v>25.808199999999989</c:v>
                </c:pt>
                <c:pt idx="102">
                  <c:v>25.808199999999989</c:v>
                </c:pt>
                <c:pt idx="103">
                  <c:v>25.808199999999989</c:v>
                </c:pt>
                <c:pt idx="104">
                  <c:v>25.808199999999989</c:v>
                </c:pt>
                <c:pt idx="105">
                  <c:v>25.808199999999989</c:v>
                </c:pt>
                <c:pt idx="106">
                  <c:v>25.808199999999989</c:v>
                </c:pt>
                <c:pt idx="107">
                  <c:v>25.808199999999989</c:v>
                </c:pt>
                <c:pt idx="108">
                  <c:v>25.808199999999989</c:v>
                </c:pt>
                <c:pt idx="109">
                  <c:v>25.808199999999989</c:v>
                </c:pt>
                <c:pt idx="110">
                  <c:v>25.808199999999989</c:v>
                </c:pt>
                <c:pt idx="111">
                  <c:v>25.808199999999989</c:v>
                </c:pt>
                <c:pt idx="112">
                  <c:v>25.808199999999989</c:v>
                </c:pt>
                <c:pt idx="113">
                  <c:v>25.808199999999989</c:v>
                </c:pt>
                <c:pt idx="114">
                  <c:v>25.808199999999989</c:v>
                </c:pt>
                <c:pt idx="115">
                  <c:v>25.808199999999989</c:v>
                </c:pt>
                <c:pt idx="116">
                  <c:v>25.808199999999989</c:v>
                </c:pt>
                <c:pt idx="117">
                  <c:v>25.808199999999989</c:v>
                </c:pt>
                <c:pt idx="118">
                  <c:v>25.808199999999989</c:v>
                </c:pt>
                <c:pt idx="119">
                  <c:v>25.808199999999989</c:v>
                </c:pt>
                <c:pt idx="120">
                  <c:v>25.808199999999989</c:v>
                </c:pt>
                <c:pt idx="121">
                  <c:v>25.808199999999989</c:v>
                </c:pt>
                <c:pt idx="122">
                  <c:v>25.808199999999989</c:v>
                </c:pt>
                <c:pt idx="123">
                  <c:v>25.808199999999989</c:v>
                </c:pt>
                <c:pt idx="124">
                  <c:v>25.808199999999989</c:v>
                </c:pt>
                <c:pt idx="125">
                  <c:v>25.808199999999989</c:v>
                </c:pt>
                <c:pt idx="126">
                  <c:v>25.808199999999989</c:v>
                </c:pt>
                <c:pt idx="127">
                  <c:v>25.808199999999989</c:v>
                </c:pt>
                <c:pt idx="128">
                  <c:v>25.808199999999989</c:v>
                </c:pt>
                <c:pt idx="129">
                  <c:v>25.808199999999989</c:v>
                </c:pt>
                <c:pt idx="130">
                  <c:v>25.808199999999989</c:v>
                </c:pt>
                <c:pt idx="131">
                  <c:v>25.808199999999989</c:v>
                </c:pt>
                <c:pt idx="132">
                  <c:v>25.808199999999989</c:v>
                </c:pt>
                <c:pt idx="133">
                  <c:v>25.808199999999989</c:v>
                </c:pt>
                <c:pt idx="134">
                  <c:v>25.808199999999989</c:v>
                </c:pt>
                <c:pt idx="135">
                  <c:v>25.808199999999989</c:v>
                </c:pt>
                <c:pt idx="136">
                  <c:v>25.808199999999989</c:v>
                </c:pt>
                <c:pt idx="137">
                  <c:v>25.808199999999989</c:v>
                </c:pt>
                <c:pt idx="138">
                  <c:v>25.808199999999989</c:v>
                </c:pt>
                <c:pt idx="139">
                  <c:v>25.808199999999989</c:v>
                </c:pt>
                <c:pt idx="140">
                  <c:v>25.808199999999989</c:v>
                </c:pt>
                <c:pt idx="141">
                  <c:v>25.808199999999989</c:v>
                </c:pt>
                <c:pt idx="142">
                  <c:v>25.808199999999989</c:v>
                </c:pt>
                <c:pt idx="143">
                  <c:v>25.808199999999989</c:v>
                </c:pt>
                <c:pt idx="144">
                  <c:v>25.808199999999989</c:v>
                </c:pt>
                <c:pt idx="145">
                  <c:v>25.808199999999989</c:v>
                </c:pt>
                <c:pt idx="146">
                  <c:v>25.808199999999989</c:v>
                </c:pt>
                <c:pt idx="147">
                  <c:v>25.808199999999989</c:v>
                </c:pt>
                <c:pt idx="148">
                  <c:v>25.808199999999989</c:v>
                </c:pt>
                <c:pt idx="149">
                  <c:v>25.808199999999989</c:v>
                </c:pt>
                <c:pt idx="150">
                  <c:v>25.808199999999989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8E-4BED-8D9B-77EC5F20C99F}"/>
            </c:ext>
          </c:extLst>
        </c:ser>
        <c:ser>
          <c:idx val="2"/>
          <c:order val="1"/>
          <c:tx>
            <c:strRef>
              <c:f>'Carta 0'!$AM$6</c:f>
              <c:strCache>
                <c:ptCount val="1"/>
                <c:pt idx="0">
                  <c:v>L.A.S.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0'!$AI$7:$AI$157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0'!$AM$7:$AM$157</c:f>
              <c:numCache>
                <c:formatCode>0.000</c:formatCode>
                <c:ptCount val="151"/>
                <c:pt idx="0">
                  <c:v>26.031700254219896</c:v>
                </c:pt>
                <c:pt idx="1">
                  <c:v>26.031700254219896</c:v>
                </c:pt>
                <c:pt idx="2">
                  <c:v>26.031700254219896</c:v>
                </c:pt>
                <c:pt idx="3">
                  <c:v>26.031700254219896</c:v>
                </c:pt>
                <c:pt idx="4">
                  <c:v>26.031700254219896</c:v>
                </c:pt>
                <c:pt idx="5">
                  <c:v>26.031700254219896</c:v>
                </c:pt>
                <c:pt idx="6">
                  <c:v>26.031700254219896</c:v>
                </c:pt>
                <c:pt idx="7">
                  <c:v>26.031700254219896</c:v>
                </c:pt>
                <c:pt idx="8">
                  <c:v>26.031700254219896</c:v>
                </c:pt>
                <c:pt idx="9">
                  <c:v>26.031700254219896</c:v>
                </c:pt>
                <c:pt idx="10">
                  <c:v>26.031700254219896</c:v>
                </c:pt>
                <c:pt idx="11">
                  <c:v>26.031700254219896</c:v>
                </c:pt>
                <c:pt idx="12">
                  <c:v>26.031700254219896</c:v>
                </c:pt>
                <c:pt idx="13">
                  <c:v>26.031700254219896</c:v>
                </c:pt>
                <c:pt idx="14">
                  <c:v>26.031700254219896</c:v>
                </c:pt>
                <c:pt idx="15">
                  <c:v>26.031700254219896</c:v>
                </c:pt>
                <c:pt idx="16">
                  <c:v>26.031700254219896</c:v>
                </c:pt>
                <c:pt idx="17">
                  <c:v>26.031700254219896</c:v>
                </c:pt>
                <c:pt idx="18">
                  <c:v>26.031700254219896</c:v>
                </c:pt>
                <c:pt idx="19">
                  <c:v>26.031700254219896</c:v>
                </c:pt>
                <c:pt idx="20">
                  <c:v>26.031700254219896</c:v>
                </c:pt>
                <c:pt idx="21">
                  <c:v>26.031700254219896</c:v>
                </c:pt>
                <c:pt idx="22">
                  <c:v>26.031700254219896</c:v>
                </c:pt>
                <c:pt idx="23">
                  <c:v>26.031700254219896</c:v>
                </c:pt>
                <c:pt idx="24">
                  <c:v>26.031700254219896</c:v>
                </c:pt>
                <c:pt idx="25">
                  <c:v>26.031700254219896</c:v>
                </c:pt>
                <c:pt idx="26">
                  <c:v>26.031700254219896</c:v>
                </c:pt>
                <c:pt idx="27">
                  <c:v>26.031700254219896</c:v>
                </c:pt>
                <c:pt idx="28">
                  <c:v>26.031700254219896</c:v>
                </c:pt>
                <c:pt idx="29">
                  <c:v>26.031700254219896</c:v>
                </c:pt>
                <c:pt idx="30">
                  <c:v>26.031700254219896</c:v>
                </c:pt>
                <c:pt idx="31">
                  <c:v>26.031700254219896</c:v>
                </c:pt>
                <c:pt idx="32">
                  <c:v>26.031700254219896</c:v>
                </c:pt>
                <c:pt idx="33">
                  <c:v>26.031700254219896</c:v>
                </c:pt>
                <c:pt idx="34">
                  <c:v>26.031700254219896</c:v>
                </c:pt>
                <c:pt idx="35">
                  <c:v>26.031700254219896</c:v>
                </c:pt>
                <c:pt idx="36">
                  <c:v>26.031700254219896</c:v>
                </c:pt>
                <c:pt idx="37">
                  <c:v>26.031700254219896</c:v>
                </c:pt>
                <c:pt idx="38">
                  <c:v>26.031700254219896</c:v>
                </c:pt>
                <c:pt idx="39">
                  <c:v>26.031700254219896</c:v>
                </c:pt>
                <c:pt idx="40">
                  <c:v>26.031700254219896</c:v>
                </c:pt>
                <c:pt idx="41">
                  <c:v>26.031700254219896</c:v>
                </c:pt>
                <c:pt idx="42">
                  <c:v>26.031700254219896</c:v>
                </c:pt>
                <c:pt idx="43">
                  <c:v>26.031700254219896</c:v>
                </c:pt>
                <c:pt idx="44">
                  <c:v>26.031700254219896</c:v>
                </c:pt>
                <c:pt idx="45">
                  <c:v>26.031700254219896</c:v>
                </c:pt>
                <c:pt idx="46">
                  <c:v>26.031700254219896</c:v>
                </c:pt>
                <c:pt idx="47">
                  <c:v>26.031700254219896</c:v>
                </c:pt>
                <c:pt idx="48">
                  <c:v>26.031700254219896</c:v>
                </c:pt>
                <c:pt idx="49">
                  <c:v>26.031700254219896</c:v>
                </c:pt>
                <c:pt idx="50">
                  <c:v>26.031700254219896</c:v>
                </c:pt>
                <c:pt idx="51">
                  <c:v>26.031700254219896</c:v>
                </c:pt>
                <c:pt idx="52">
                  <c:v>26.031700254219896</c:v>
                </c:pt>
                <c:pt idx="53">
                  <c:v>26.031700254219896</c:v>
                </c:pt>
                <c:pt idx="54">
                  <c:v>26.031700254219896</c:v>
                </c:pt>
                <c:pt idx="55">
                  <c:v>26.031700254219896</c:v>
                </c:pt>
                <c:pt idx="56">
                  <c:v>26.031700254219896</c:v>
                </c:pt>
                <c:pt idx="57">
                  <c:v>26.031700254219896</c:v>
                </c:pt>
                <c:pt idx="58">
                  <c:v>26.031700254219896</c:v>
                </c:pt>
                <c:pt idx="59">
                  <c:v>26.031700254219896</c:v>
                </c:pt>
                <c:pt idx="60">
                  <c:v>26.031700254219896</c:v>
                </c:pt>
                <c:pt idx="61">
                  <c:v>26.031700254219896</c:v>
                </c:pt>
                <c:pt idx="62">
                  <c:v>26.031700254219896</c:v>
                </c:pt>
                <c:pt idx="63">
                  <c:v>26.031700254219896</c:v>
                </c:pt>
                <c:pt idx="64">
                  <c:v>26.031700254219896</c:v>
                </c:pt>
                <c:pt idx="65">
                  <c:v>26.031700254219896</c:v>
                </c:pt>
                <c:pt idx="66">
                  <c:v>26.031700254219896</c:v>
                </c:pt>
                <c:pt idx="67">
                  <c:v>26.031700254219896</c:v>
                </c:pt>
                <c:pt idx="68">
                  <c:v>26.031700254219896</c:v>
                </c:pt>
                <c:pt idx="69">
                  <c:v>26.031700254219896</c:v>
                </c:pt>
                <c:pt idx="70">
                  <c:v>26.031700254219896</c:v>
                </c:pt>
                <c:pt idx="71">
                  <c:v>26.031700254219896</c:v>
                </c:pt>
                <c:pt idx="72">
                  <c:v>26.031700254219896</c:v>
                </c:pt>
                <c:pt idx="73">
                  <c:v>26.031700254219896</c:v>
                </c:pt>
                <c:pt idx="74">
                  <c:v>26.031700254219896</c:v>
                </c:pt>
                <c:pt idx="75">
                  <c:v>26.031700254219896</c:v>
                </c:pt>
                <c:pt idx="76">
                  <c:v>26.031700254219896</c:v>
                </c:pt>
                <c:pt idx="77">
                  <c:v>26.031700254219896</c:v>
                </c:pt>
                <c:pt idx="78">
                  <c:v>26.031700254219896</c:v>
                </c:pt>
                <c:pt idx="79">
                  <c:v>26.031700254219896</c:v>
                </c:pt>
                <c:pt idx="80">
                  <c:v>26.031700254219896</c:v>
                </c:pt>
                <c:pt idx="81">
                  <c:v>26.031700254219896</c:v>
                </c:pt>
                <c:pt idx="82">
                  <c:v>26.031700254219896</c:v>
                </c:pt>
                <c:pt idx="83">
                  <c:v>26.031700254219896</c:v>
                </c:pt>
                <c:pt idx="84">
                  <c:v>26.031700254219896</c:v>
                </c:pt>
                <c:pt idx="85">
                  <c:v>26.031700254219896</c:v>
                </c:pt>
                <c:pt idx="86">
                  <c:v>26.031700254219896</c:v>
                </c:pt>
                <c:pt idx="87">
                  <c:v>26.031700254219896</c:v>
                </c:pt>
                <c:pt idx="88">
                  <c:v>26.031700254219896</c:v>
                </c:pt>
                <c:pt idx="89">
                  <c:v>26.031700254219896</c:v>
                </c:pt>
                <c:pt idx="90">
                  <c:v>26.031700254219896</c:v>
                </c:pt>
                <c:pt idx="91">
                  <c:v>26.031700254219896</c:v>
                </c:pt>
                <c:pt idx="92">
                  <c:v>26.031700254219896</c:v>
                </c:pt>
                <c:pt idx="93">
                  <c:v>26.031700254219896</c:v>
                </c:pt>
                <c:pt idx="94">
                  <c:v>26.031700254219896</c:v>
                </c:pt>
                <c:pt idx="95">
                  <c:v>26.031700254219896</c:v>
                </c:pt>
                <c:pt idx="96">
                  <c:v>26.031700254219896</c:v>
                </c:pt>
                <c:pt idx="97">
                  <c:v>26.031700254219896</c:v>
                </c:pt>
                <c:pt idx="98">
                  <c:v>26.031700254219896</c:v>
                </c:pt>
                <c:pt idx="99">
                  <c:v>26.031700254219896</c:v>
                </c:pt>
                <c:pt idx="100">
                  <c:v>26.031700254219896</c:v>
                </c:pt>
                <c:pt idx="101">
                  <c:v>26.031700254219896</c:v>
                </c:pt>
                <c:pt idx="102">
                  <c:v>26.031700254219896</c:v>
                </c:pt>
                <c:pt idx="103">
                  <c:v>26.031700254219896</c:v>
                </c:pt>
                <c:pt idx="104">
                  <c:v>26.031700254219896</c:v>
                </c:pt>
                <c:pt idx="105">
                  <c:v>26.031700254219896</c:v>
                </c:pt>
                <c:pt idx="106">
                  <c:v>26.031700254219896</c:v>
                </c:pt>
                <c:pt idx="107">
                  <c:v>26.031700254219896</c:v>
                </c:pt>
                <c:pt idx="108">
                  <c:v>26.031700254219896</c:v>
                </c:pt>
                <c:pt idx="109">
                  <c:v>26.031700254219896</c:v>
                </c:pt>
                <c:pt idx="110">
                  <c:v>26.031700254219896</c:v>
                </c:pt>
                <c:pt idx="111">
                  <c:v>26.031700254219896</c:v>
                </c:pt>
                <c:pt idx="112">
                  <c:v>26.031700254219896</c:v>
                </c:pt>
                <c:pt idx="113">
                  <c:v>26.031700254219896</c:v>
                </c:pt>
                <c:pt idx="114">
                  <c:v>26.031700254219896</c:v>
                </c:pt>
                <c:pt idx="115">
                  <c:v>26.031700254219896</c:v>
                </c:pt>
                <c:pt idx="116">
                  <c:v>26.031700254219896</c:v>
                </c:pt>
                <c:pt idx="117">
                  <c:v>26.031700254219896</c:v>
                </c:pt>
                <c:pt idx="118">
                  <c:v>26.031700254219896</c:v>
                </c:pt>
                <c:pt idx="119">
                  <c:v>26.031700254219896</c:v>
                </c:pt>
                <c:pt idx="120">
                  <c:v>26.031700254219896</c:v>
                </c:pt>
                <c:pt idx="121">
                  <c:v>26.031700254219896</c:v>
                </c:pt>
                <c:pt idx="122">
                  <c:v>26.031700254219896</c:v>
                </c:pt>
                <c:pt idx="123">
                  <c:v>26.031700254219896</c:v>
                </c:pt>
                <c:pt idx="124">
                  <c:v>26.031700254219896</c:v>
                </c:pt>
                <c:pt idx="125">
                  <c:v>26.031700254219896</c:v>
                </c:pt>
                <c:pt idx="126">
                  <c:v>26.031700254219896</c:v>
                </c:pt>
                <c:pt idx="127">
                  <c:v>26.031700254219896</c:v>
                </c:pt>
                <c:pt idx="128">
                  <c:v>26.031700254219896</c:v>
                </c:pt>
                <c:pt idx="129">
                  <c:v>26.031700254219896</c:v>
                </c:pt>
                <c:pt idx="130">
                  <c:v>26.031700254219896</c:v>
                </c:pt>
                <c:pt idx="131">
                  <c:v>26.031700254219896</c:v>
                </c:pt>
                <c:pt idx="132">
                  <c:v>26.031700254219896</c:v>
                </c:pt>
                <c:pt idx="133">
                  <c:v>26.031700254219896</c:v>
                </c:pt>
                <c:pt idx="134">
                  <c:v>26.031700254219896</c:v>
                </c:pt>
                <c:pt idx="135">
                  <c:v>26.031700254219896</c:v>
                </c:pt>
                <c:pt idx="136">
                  <c:v>26.031700254219896</c:v>
                </c:pt>
                <c:pt idx="137">
                  <c:v>26.031700254219896</c:v>
                </c:pt>
                <c:pt idx="138">
                  <c:v>26.031700254219896</c:v>
                </c:pt>
                <c:pt idx="139">
                  <c:v>26.031700254219896</c:v>
                </c:pt>
                <c:pt idx="140">
                  <c:v>26.031700254219896</c:v>
                </c:pt>
                <c:pt idx="141">
                  <c:v>26.031700254219896</c:v>
                </c:pt>
                <c:pt idx="142">
                  <c:v>26.031700254219896</c:v>
                </c:pt>
                <c:pt idx="143">
                  <c:v>26.031700254219896</c:v>
                </c:pt>
                <c:pt idx="144">
                  <c:v>26.031700254219896</c:v>
                </c:pt>
                <c:pt idx="145">
                  <c:v>26.031700254219896</c:v>
                </c:pt>
                <c:pt idx="146">
                  <c:v>26.031700254219896</c:v>
                </c:pt>
                <c:pt idx="147">
                  <c:v>26.031700254219896</c:v>
                </c:pt>
                <c:pt idx="148">
                  <c:v>26.031700254219896</c:v>
                </c:pt>
                <c:pt idx="149">
                  <c:v>26.031700254219896</c:v>
                </c:pt>
                <c:pt idx="150">
                  <c:v>26.031700254219896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8E-4BED-8D9B-77EC5F20C99F}"/>
            </c:ext>
          </c:extLst>
        </c:ser>
        <c:ser>
          <c:idx val="3"/>
          <c:order val="2"/>
          <c:tx>
            <c:strRef>
              <c:f>'Carta 0'!$AN$6</c:f>
              <c:strCache>
                <c:ptCount val="1"/>
                <c:pt idx="0">
                  <c:v>L.A.I.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0'!$AI$7:$AI$157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0'!$AN$7:$AN$157</c:f>
              <c:numCache>
                <c:formatCode>0.000</c:formatCode>
                <c:ptCount val="151"/>
                <c:pt idx="0">
                  <c:v>25.584699745780082</c:v>
                </c:pt>
                <c:pt idx="1">
                  <c:v>25.584699745780082</c:v>
                </c:pt>
                <c:pt idx="2">
                  <c:v>25.584699745780082</c:v>
                </c:pt>
                <c:pt idx="3">
                  <c:v>25.584699745780082</c:v>
                </c:pt>
                <c:pt idx="4">
                  <c:v>25.584699745780082</c:v>
                </c:pt>
                <c:pt idx="5">
                  <c:v>25.584699745780082</c:v>
                </c:pt>
                <c:pt idx="6">
                  <c:v>25.584699745780082</c:v>
                </c:pt>
                <c:pt idx="7">
                  <c:v>25.584699745780082</c:v>
                </c:pt>
                <c:pt idx="8">
                  <c:v>25.584699745780082</c:v>
                </c:pt>
                <c:pt idx="9">
                  <c:v>25.584699745780082</c:v>
                </c:pt>
                <c:pt idx="10">
                  <c:v>25.584699745780082</c:v>
                </c:pt>
                <c:pt idx="11">
                  <c:v>25.584699745780082</c:v>
                </c:pt>
                <c:pt idx="12">
                  <c:v>25.584699745780082</c:v>
                </c:pt>
                <c:pt idx="13">
                  <c:v>25.584699745780082</c:v>
                </c:pt>
                <c:pt idx="14">
                  <c:v>25.584699745780082</c:v>
                </c:pt>
                <c:pt idx="15">
                  <c:v>25.584699745780082</c:v>
                </c:pt>
                <c:pt idx="16">
                  <c:v>25.584699745780082</c:v>
                </c:pt>
                <c:pt idx="17">
                  <c:v>25.584699745780082</c:v>
                </c:pt>
                <c:pt idx="18">
                  <c:v>25.584699745780082</c:v>
                </c:pt>
                <c:pt idx="19">
                  <c:v>25.584699745780082</c:v>
                </c:pt>
                <c:pt idx="20">
                  <c:v>25.584699745780082</c:v>
                </c:pt>
                <c:pt idx="21">
                  <c:v>25.584699745780082</c:v>
                </c:pt>
                <c:pt idx="22">
                  <c:v>25.584699745780082</c:v>
                </c:pt>
                <c:pt idx="23">
                  <c:v>25.584699745780082</c:v>
                </c:pt>
                <c:pt idx="24">
                  <c:v>25.584699745780082</c:v>
                </c:pt>
                <c:pt idx="25">
                  <c:v>25.584699745780082</c:v>
                </c:pt>
                <c:pt idx="26">
                  <c:v>25.584699745780082</c:v>
                </c:pt>
                <c:pt idx="27">
                  <c:v>25.584699745780082</c:v>
                </c:pt>
                <c:pt idx="28">
                  <c:v>25.584699745780082</c:v>
                </c:pt>
                <c:pt idx="29">
                  <c:v>25.584699745780082</c:v>
                </c:pt>
                <c:pt idx="30">
                  <c:v>25.584699745780082</c:v>
                </c:pt>
                <c:pt idx="31">
                  <c:v>25.584699745780082</c:v>
                </c:pt>
                <c:pt idx="32">
                  <c:v>25.584699745780082</c:v>
                </c:pt>
                <c:pt idx="33">
                  <c:v>25.584699745780082</c:v>
                </c:pt>
                <c:pt idx="34">
                  <c:v>25.584699745780082</c:v>
                </c:pt>
                <c:pt idx="35">
                  <c:v>25.584699745780082</c:v>
                </c:pt>
                <c:pt idx="36">
                  <c:v>25.584699745780082</c:v>
                </c:pt>
                <c:pt idx="37">
                  <c:v>25.584699745780082</c:v>
                </c:pt>
                <c:pt idx="38">
                  <c:v>25.584699745780082</c:v>
                </c:pt>
                <c:pt idx="39">
                  <c:v>25.584699745780082</c:v>
                </c:pt>
                <c:pt idx="40">
                  <c:v>25.584699745780082</c:v>
                </c:pt>
                <c:pt idx="41">
                  <c:v>25.584699745780082</c:v>
                </c:pt>
                <c:pt idx="42">
                  <c:v>25.584699745780082</c:v>
                </c:pt>
                <c:pt idx="43">
                  <c:v>25.584699745780082</c:v>
                </c:pt>
                <c:pt idx="44">
                  <c:v>25.584699745780082</c:v>
                </c:pt>
                <c:pt idx="45">
                  <c:v>25.584699745780082</c:v>
                </c:pt>
                <c:pt idx="46">
                  <c:v>25.584699745780082</c:v>
                </c:pt>
                <c:pt idx="47">
                  <c:v>25.584699745780082</c:v>
                </c:pt>
                <c:pt idx="48">
                  <c:v>25.584699745780082</c:v>
                </c:pt>
                <c:pt idx="49">
                  <c:v>25.584699745780082</c:v>
                </c:pt>
                <c:pt idx="50">
                  <c:v>25.584699745780082</c:v>
                </c:pt>
                <c:pt idx="51">
                  <c:v>25.584699745780082</c:v>
                </c:pt>
                <c:pt idx="52">
                  <c:v>25.584699745780082</c:v>
                </c:pt>
                <c:pt idx="53">
                  <c:v>25.584699745780082</c:v>
                </c:pt>
                <c:pt idx="54">
                  <c:v>25.584699745780082</c:v>
                </c:pt>
                <c:pt idx="55">
                  <c:v>25.584699745780082</c:v>
                </c:pt>
                <c:pt idx="56">
                  <c:v>25.584699745780082</c:v>
                </c:pt>
                <c:pt idx="57">
                  <c:v>25.584699745780082</c:v>
                </c:pt>
                <c:pt idx="58">
                  <c:v>25.584699745780082</c:v>
                </c:pt>
                <c:pt idx="59">
                  <c:v>25.584699745780082</c:v>
                </c:pt>
                <c:pt idx="60">
                  <c:v>25.584699745780082</c:v>
                </c:pt>
                <c:pt idx="61">
                  <c:v>25.584699745780082</c:v>
                </c:pt>
                <c:pt idx="62">
                  <c:v>25.584699745780082</c:v>
                </c:pt>
                <c:pt idx="63">
                  <c:v>25.584699745780082</c:v>
                </c:pt>
                <c:pt idx="64">
                  <c:v>25.584699745780082</c:v>
                </c:pt>
                <c:pt idx="65">
                  <c:v>25.584699745780082</c:v>
                </c:pt>
                <c:pt idx="66">
                  <c:v>25.584699745780082</c:v>
                </c:pt>
                <c:pt idx="67">
                  <c:v>25.584699745780082</c:v>
                </c:pt>
                <c:pt idx="68">
                  <c:v>25.584699745780082</c:v>
                </c:pt>
                <c:pt idx="69">
                  <c:v>25.584699745780082</c:v>
                </c:pt>
                <c:pt idx="70">
                  <c:v>25.584699745780082</c:v>
                </c:pt>
                <c:pt idx="71">
                  <c:v>25.584699745780082</c:v>
                </c:pt>
                <c:pt idx="72">
                  <c:v>25.584699745780082</c:v>
                </c:pt>
                <c:pt idx="73">
                  <c:v>25.584699745780082</c:v>
                </c:pt>
                <c:pt idx="74">
                  <c:v>25.584699745780082</c:v>
                </c:pt>
                <c:pt idx="75">
                  <c:v>25.584699745780082</c:v>
                </c:pt>
                <c:pt idx="76">
                  <c:v>25.584699745780082</c:v>
                </c:pt>
                <c:pt idx="77">
                  <c:v>25.584699745780082</c:v>
                </c:pt>
                <c:pt idx="78">
                  <c:v>25.584699745780082</c:v>
                </c:pt>
                <c:pt idx="79">
                  <c:v>25.584699745780082</c:v>
                </c:pt>
                <c:pt idx="80">
                  <c:v>25.584699745780082</c:v>
                </c:pt>
                <c:pt idx="81">
                  <c:v>25.584699745780082</c:v>
                </c:pt>
                <c:pt idx="82">
                  <c:v>25.584699745780082</c:v>
                </c:pt>
                <c:pt idx="83">
                  <c:v>25.584699745780082</c:v>
                </c:pt>
                <c:pt idx="84">
                  <c:v>25.584699745780082</c:v>
                </c:pt>
                <c:pt idx="85">
                  <c:v>25.584699745780082</c:v>
                </c:pt>
                <c:pt idx="86">
                  <c:v>25.584699745780082</c:v>
                </c:pt>
                <c:pt idx="87">
                  <c:v>25.584699745780082</c:v>
                </c:pt>
                <c:pt idx="88">
                  <c:v>25.584699745780082</c:v>
                </c:pt>
                <c:pt idx="89">
                  <c:v>25.584699745780082</c:v>
                </c:pt>
                <c:pt idx="90">
                  <c:v>25.584699745780082</c:v>
                </c:pt>
                <c:pt idx="91">
                  <c:v>25.584699745780082</c:v>
                </c:pt>
                <c:pt idx="92">
                  <c:v>25.584699745780082</c:v>
                </c:pt>
                <c:pt idx="93">
                  <c:v>25.584699745780082</c:v>
                </c:pt>
                <c:pt idx="94">
                  <c:v>25.584699745780082</c:v>
                </c:pt>
                <c:pt idx="95">
                  <c:v>25.584699745780082</c:v>
                </c:pt>
                <c:pt idx="96">
                  <c:v>25.584699745780082</c:v>
                </c:pt>
                <c:pt idx="97">
                  <c:v>25.584699745780082</c:v>
                </c:pt>
                <c:pt idx="98">
                  <c:v>25.584699745780082</c:v>
                </c:pt>
                <c:pt idx="99">
                  <c:v>25.584699745780082</c:v>
                </c:pt>
                <c:pt idx="100">
                  <c:v>25.584699745780082</c:v>
                </c:pt>
                <c:pt idx="101">
                  <c:v>25.584699745780082</c:v>
                </c:pt>
                <c:pt idx="102">
                  <c:v>25.584699745780082</c:v>
                </c:pt>
                <c:pt idx="103">
                  <c:v>25.584699745780082</c:v>
                </c:pt>
                <c:pt idx="104">
                  <c:v>25.584699745780082</c:v>
                </c:pt>
                <c:pt idx="105">
                  <c:v>25.584699745780082</c:v>
                </c:pt>
                <c:pt idx="106">
                  <c:v>25.584699745780082</c:v>
                </c:pt>
                <c:pt idx="107">
                  <c:v>25.584699745780082</c:v>
                </c:pt>
                <c:pt idx="108">
                  <c:v>25.584699745780082</c:v>
                </c:pt>
                <c:pt idx="109">
                  <c:v>25.584699745780082</c:v>
                </c:pt>
                <c:pt idx="110">
                  <c:v>25.584699745780082</c:v>
                </c:pt>
                <c:pt idx="111">
                  <c:v>25.584699745780082</c:v>
                </c:pt>
                <c:pt idx="112">
                  <c:v>25.584699745780082</c:v>
                </c:pt>
                <c:pt idx="113">
                  <c:v>25.584699745780082</c:v>
                </c:pt>
                <c:pt idx="114">
                  <c:v>25.584699745780082</c:v>
                </c:pt>
                <c:pt idx="115">
                  <c:v>25.584699745780082</c:v>
                </c:pt>
                <c:pt idx="116">
                  <c:v>25.584699745780082</c:v>
                </c:pt>
                <c:pt idx="117">
                  <c:v>25.584699745780082</c:v>
                </c:pt>
                <c:pt idx="118">
                  <c:v>25.584699745780082</c:v>
                </c:pt>
                <c:pt idx="119">
                  <c:v>25.584699745780082</c:v>
                </c:pt>
                <c:pt idx="120">
                  <c:v>25.584699745780082</c:v>
                </c:pt>
                <c:pt idx="121">
                  <c:v>25.584699745780082</c:v>
                </c:pt>
                <c:pt idx="122">
                  <c:v>25.584699745780082</c:v>
                </c:pt>
                <c:pt idx="123">
                  <c:v>25.584699745780082</c:v>
                </c:pt>
                <c:pt idx="124">
                  <c:v>25.584699745780082</c:v>
                </c:pt>
                <c:pt idx="125">
                  <c:v>25.584699745780082</c:v>
                </c:pt>
                <c:pt idx="126">
                  <c:v>25.584699745780082</c:v>
                </c:pt>
                <c:pt idx="127">
                  <c:v>25.584699745780082</c:v>
                </c:pt>
                <c:pt idx="128">
                  <c:v>25.584699745780082</c:v>
                </c:pt>
                <c:pt idx="129">
                  <c:v>25.584699745780082</c:v>
                </c:pt>
                <c:pt idx="130">
                  <c:v>25.584699745780082</c:v>
                </c:pt>
                <c:pt idx="131">
                  <c:v>25.584699745780082</c:v>
                </c:pt>
                <c:pt idx="132">
                  <c:v>25.584699745780082</c:v>
                </c:pt>
                <c:pt idx="133">
                  <c:v>25.584699745780082</c:v>
                </c:pt>
                <c:pt idx="134">
                  <c:v>25.584699745780082</c:v>
                </c:pt>
                <c:pt idx="135">
                  <c:v>25.584699745780082</c:v>
                </c:pt>
                <c:pt idx="136">
                  <c:v>25.584699745780082</c:v>
                </c:pt>
                <c:pt idx="137">
                  <c:v>25.584699745780082</c:v>
                </c:pt>
                <c:pt idx="138">
                  <c:v>25.584699745780082</c:v>
                </c:pt>
                <c:pt idx="139">
                  <c:v>25.584699745780082</c:v>
                </c:pt>
                <c:pt idx="140">
                  <c:v>25.584699745780082</c:v>
                </c:pt>
                <c:pt idx="141">
                  <c:v>25.584699745780082</c:v>
                </c:pt>
                <c:pt idx="142">
                  <c:v>25.584699745780082</c:v>
                </c:pt>
                <c:pt idx="143">
                  <c:v>25.584699745780082</c:v>
                </c:pt>
                <c:pt idx="144">
                  <c:v>25.584699745780082</c:v>
                </c:pt>
                <c:pt idx="145">
                  <c:v>25.584699745780082</c:v>
                </c:pt>
                <c:pt idx="146">
                  <c:v>25.584699745780082</c:v>
                </c:pt>
                <c:pt idx="147">
                  <c:v>25.584699745780082</c:v>
                </c:pt>
                <c:pt idx="148">
                  <c:v>25.584699745780082</c:v>
                </c:pt>
                <c:pt idx="149">
                  <c:v>25.584699745780082</c:v>
                </c:pt>
                <c:pt idx="150">
                  <c:v>25.584699745780082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8E-4BED-8D9B-77EC5F20C99F}"/>
            </c:ext>
          </c:extLst>
        </c:ser>
        <c:ser>
          <c:idx val="4"/>
          <c:order val="3"/>
          <c:tx>
            <c:strRef>
              <c:f>'Carta 0'!$AO$6</c:f>
              <c:strCache>
                <c:ptCount val="1"/>
                <c:pt idx="0">
                  <c:v>L.D.S.</c:v>
                </c:pt>
              </c:strCache>
            </c:strRef>
          </c:tx>
          <c:spPr>
            <a:ln w="19050" cap="rnd">
              <a:solidFill>
                <a:srgbClr val="FFFF00">
                  <a:alpha val="8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0'!$AI$7:$AI$157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0'!$AO$7:$AO$157</c:f>
              <c:numCache>
                <c:formatCode>0.000</c:formatCode>
                <c:ptCount val="151"/>
                <c:pt idx="0">
                  <c:v>25.957200169479929</c:v>
                </c:pt>
                <c:pt idx="1">
                  <c:v>25.957200169479929</c:v>
                </c:pt>
                <c:pt idx="2">
                  <c:v>25.957200169479929</c:v>
                </c:pt>
                <c:pt idx="3">
                  <c:v>25.957200169479929</c:v>
                </c:pt>
                <c:pt idx="4">
                  <c:v>25.957200169479929</c:v>
                </c:pt>
                <c:pt idx="5">
                  <c:v>25.957200169479929</c:v>
                </c:pt>
                <c:pt idx="6">
                  <c:v>25.957200169479929</c:v>
                </c:pt>
                <c:pt idx="7">
                  <c:v>25.957200169479929</c:v>
                </c:pt>
                <c:pt idx="8">
                  <c:v>25.957200169479929</c:v>
                </c:pt>
                <c:pt idx="9">
                  <c:v>25.957200169479929</c:v>
                </c:pt>
                <c:pt idx="10">
                  <c:v>25.957200169479929</c:v>
                </c:pt>
                <c:pt idx="11">
                  <c:v>25.957200169479929</c:v>
                </c:pt>
                <c:pt idx="12">
                  <c:v>25.957200169479929</c:v>
                </c:pt>
                <c:pt idx="13">
                  <c:v>25.957200169479929</c:v>
                </c:pt>
                <c:pt idx="14">
                  <c:v>25.957200169479929</c:v>
                </c:pt>
                <c:pt idx="15">
                  <c:v>25.957200169479929</c:v>
                </c:pt>
                <c:pt idx="16">
                  <c:v>25.957200169479929</c:v>
                </c:pt>
                <c:pt idx="17">
                  <c:v>25.957200169479929</c:v>
                </c:pt>
                <c:pt idx="18">
                  <c:v>25.957200169479929</c:v>
                </c:pt>
                <c:pt idx="19">
                  <c:v>25.957200169479929</c:v>
                </c:pt>
                <c:pt idx="20">
                  <c:v>25.957200169479929</c:v>
                </c:pt>
                <c:pt idx="21">
                  <c:v>25.957200169479929</c:v>
                </c:pt>
                <c:pt idx="22">
                  <c:v>25.957200169479929</c:v>
                </c:pt>
                <c:pt idx="23">
                  <c:v>25.957200169479929</c:v>
                </c:pt>
                <c:pt idx="24">
                  <c:v>25.957200169479929</c:v>
                </c:pt>
                <c:pt idx="25">
                  <c:v>25.957200169479929</c:v>
                </c:pt>
                <c:pt idx="26">
                  <c:v>25.957200169479929</c:v>
                </c:pt>
                <c:pt idx="27">
                  <c:v>25.957200169479929</c:v>
                </c:pt>
                <c:pt idx="28">
                  <c:v>25.957200169479929</c:v>
                </c:pt>
                <c:pt idx="29">
                  <c:v>25.957200169479929</c:v>
                </c:pt>
                <c:pt idx="30">
                  <c:v>25.957200169479929</c:v>
                </c:pt>
                <c:pt idx="31">
                  <c:v>25.957200169479929</c:v>
                </c:pt>
                <c:pt idx="32">
                  <c:v>25.957200169479929</c:v>
                </c:pt>
                <c:pt idx="33">
                  <c:v>25.957200169479929</c:v>
                </c:pt>
                <c:pt idx="34">
                  <c:v>25.957200169479929</c:v>
                </c:pt>
                <c:pt idx="35">
                  <c:v>25.957200169479929</c:v>
                </c:pt>
                <c:pt idx="36">
                  <c:v>25.957200169479929</c:v>
                </c:pt>
                <c:pt idx="37">
                  <c:v>25.957200169479929</c:v>
                </c:pt>
                <c:pt idx="38">
                  <c:v>25.957200169479929</c:v>
                </c:pt>
                <c:pt idx="39">
                  <c:v>25.957200169479929</c:v>
                </c:pt>
                <c:pt idx="40">
                  <c:v>25.957200169479929</c:v>
                </c:pt>
                <c:pt idx="41">
                  <c:v>25.957200169479929</c:v>
                </c:pt>
                <c:pt idx="42">
                  <c:v>25.957200169479929</c:v>
                </c:pt>
                <c:pt idx="43">
                  <c:v>25.957200169479929</c:v>
                </c:pt>
                <c:pt idx="44">
                  <c:v>25.957200169479929</c:v>
                </c:pt>
                <c:pt idx="45">
                  <c:v>25.957200169479929</c:v>
                </c:pt>
                <c:pt idx="46">
                  <c:v>25.957200169479929</c:v>
                </c:pt>
                <c:pt idx="47">
                  <c:v>25.957200169479929</c:v>
                </c:pt>
                <c:pt idx="48">
                  <c:v>25.957200169479929</c:v>
                </c:pt>
                <c:pt idx="49">
                  <c:v>25.957200169479929</c:v>
                </c:pt>
                <c:pt idx="50">
                  <c:v>25.957200169479929</c:v>
                </c:pt>
                <c:pt idx="51">
                  <c:v>25.957200169479929</c:v>
                </c:pt>
                <c:pt idx="52">
                  <c:v>25.957200169479929</c:v>
                </c:pt>
                <c:pt idx="53">
                  <c:v>25.957200169479929</c:v>
                </c:pt>
                <c:pt idx="54">
                  <c:v>25.957200169479929</c:v>
                </c:pt>
                <c:pt idx="55">
                  <c:v>25.957200169479929</c:v>
                </c:pt>
                <c:pt idx="56">
                  <c:v>25.957200169479929</c:v>
                </c:pt>
                <c:pt idx="57">
                  <c:v>25.957200169479929</c:v>
                </c:pt>
                <c:pt idx="58">
                  <c:v>25.957200169479929</c:v>
                </c:pt>
                <c:pt idx="59">
                  <c:v>25.957200169479929</c:v>
                </c:pt>
                <c:pt idx="60">
                  <c:v>25.957200169479929</c:v>
                </c:pt>
                <c:pt idx="61">
                  <c:v>25.957200169479929</c:v>
                </c:pt>
                <c:pt idx="62">
                  <c:v>25.957200169479929</c:v>
                </c:pt>
                <c:pt idx="63">
                  <c:v>25.957200169479929</c:v>
                </c:pt>
                <c:pt idx="64">
                  <c:v>25.957200169479929</c:v>
                </c:pt>
                <c:pt idx="65">
                  <c:v>25.957200169479929</c:v>
                </c:pt>
                <c:pt idx="66">
                  <c:v>25.957200169479929</c:v>
                </c:pt>
                <c:pt idx="67">
                  <c:v>25.957200169479929</c:v>
                </c:pt>
                <c:pt idx="68">
                  <c:v>25.957200169479929</c:v>
                </c:pt>
                <c:pt idx="69">
                  <c:v>25.957200169479929</c:v>
                </c:pt>
                <c:pt idx="70">
                  <c:v>25.957200169479929</c:v>
                </c:pt>
                <c:pt idx="71">
                  <c:v>25.957200169479929</c:v>
                </c:pt>
                <c:pt idx="72">
                  <c:v>25.957200169479929</c:v>
                </c:pt>
                <c:pt idx="73">
                  <c:v>25.957200169479929</c:v>
                </c:pt>
                <c:pt idx="74">
                  <c:v>25.957200169479929</c:v>
                </c:pt>
                <c:pt idx="75">
                  <c:v>25.957200169479929</c:v>
                </c:pt>
                <c:pt idx="76">
                  <c:v>25.957200169479929</c:v>
                </c:pt>
                <c:pt idx="77">
                  <c:v>25.957200169479929</c:v>
                </c:pt>
                <c:pt idx="78">
                  <c:v>25.957200169479929</c:v>
                </c:pt>
                <c:pt idx="79">
                  <c:v>25.957200169479929</c:v>
                </c:pt>
                <c:pt idx="80">
                  <c:v>25.957200169479929</c:v>
                </c:pt>
                <c:pt idx="81">
                  <c:v>25.957200169479929</c:v>
                </c:pt>
                <c:pt idx="82">
                  <c:v>25.957200169479929</c:v>
                </c:pt>
                <c:pt idx="83">
                  <c:v>25.957200169479929</c:v>
                </c:pt>
                <c:pt idx="84">
                  <c:v>25.957200169479929</c:v>
                </c:pt>
                <c:pt idx="85">
                  <c:v>25.957200169479929</c:v>
                </c:pt>
                <c:pt idx="86">
                  <c:v>25.957200169479929</c:v>
                </c:pt>
                <c:pt idx="87">
                  <c:v>25.957200169479929</c:v>
                </c:pt>
                <c:pt idx="88">
                  <c:v>25.957200169479929</c:v>
                </c:pt>
                <c:pt idx="89">
                  <c:v>25.957200169479929</c:v>
                </c:pt>
                <c:pt idx="90">
                  <c:v>25.957200169479929</c:v>
                </c:pt>
                <c:pt idx="91">
                  <c:v>25.957200169479929</c:v>
                </c:pt>
                <c:pt idx="92">
                  <c:v>25.957200169479929</c:v>
                </c:pt>
                <c:pt idx="93">
                  <c:v>25.957200169479929</c:v>
                </c:pt>
                <c:pt idx="94">
                  <c:v>25.957200169479929</c:v>
                </c:pt>
                <c:pt idx="95">
                  <c:v>25.957200169479929</c:v>
                </c:pt>
                <c:pt idx="96">
                  <c:v>25.957200169479929</c:v>
                </c:pt>
                <c:pt idx="97">
                  <c:v>25.957200169479929</c:v>
                </c:pt>
                <c:pt idx="98">
                  <c:v>25.957200169479929</c:v>
                </c:pt>
                <c:pt idx="99">
                  <c:v>25.957200169479929</c:v>
                </c:pt>
                <c:pt idx="100">
                  <c:v>25.957200169479929</c:v>
                </c:pt>
                <c:pt idx="101">
                  <c:v>25.957200169479929</c:v>
                </c:pt>
                <c:pt idx="102">
                  <c:v>25.957200169479929</c:v>
                </c:pt>
                <c:pt idx="103">
                  <c:v>25.957200169479929</c:v>
                </c:pt>
                <c:pt idx="104">
                  <c:v>25.957200169479929</c:v>
                </c:pt>
                <c:pt idx="105">
                  <c:v>25.957200169479929</c:v>
                </c:pt>
                <c:pt idx="106">
                  <c:v>25.957200169479929</c:v>
                </c:pt>
                <c:pt idx="107">
                  <c:v>25.957200169479929</c:v>
                </c:pt>
                <c:pt idx="108">
                  <c:v>25.957200169479929</c:v>
                </c:pt>
                <c:pt idx="109">
                  <c:v>25.957200169479929</c:v>
                </c:pt>
                <c:pt idx="110">
                  <c:v>25.957200169479929</c:v>
                </c:pt>
                <c:pt idx="111">
                  <c:v>25.957200169479929</c:v>
                </c:pt>
                <c:pt idx="112">
                  <c:v>25.957200169479929</c:v>
                </c:pt>
                <c:pt idx="113">
                  <c:v>25.957200169479929</c:v>
                </c:pt>
                <c:pt idx="114">
                  <c:v>25.957200169479929</c:v>
                </c:pt>
                <c:pt idx="115">
                  <c:v>25.957200169479929</c:v>
                </c:pt>
                <c:pt idx="116">
                  <c:v>25.957200169479929</c:v>
                </c:pt>
                <c:pt idx="117">
                  <c:v>25.957200169479929</c:v>
                </c:pt>
                <c:pt idx="118">
                  <c:v>25.957200169479929</c:v>
                </c:pt>
                <c:pt idx="119">
                  <c:v>25.957200169479929</c:v>
                </c:pt>
                <c:pt idx="120">
                  <c:v>25.957200169479929</c:v>
                </c:pt>
                <c:pt idx="121">
                  <c:v>25.957200169479929</c:v>
                </c:pt>
                <c:pt idx="122">
                  <c:v>25.957200169479929</c:v>
                </c:pt>
                <c:pt idx="123">
                  <c:v>25.957200169479929</c:v>
                </c:pt>
                <c:pt idx="124">
                  <c:v>25.957200169479929</c:v>
                </c:pt>
                <c:pt idx="125">
                  <c:v>25.957200169479929</c:v>
                </c:pt>
                <c:pt idx="126">
                  <c:v>25.957200169479929</c:v>
                </c:pt>
                <c:pt idx="127">
                  <c:v>25.957200169479929</c:v>
                </c:pt>
                <c:pt idx="128">
                  <c:v>25.957200169479929</c:v>
                </c:pt>
                <c:pt idx="129">
                  <c:v>25.957200169479929</c:v>
                </c:pt>
                <c:pt idx="130">
                  <c:v>25.957200169479929</c:v>
                </c:pt>
                <c:pt idx="131">
                  <c:v>25.957200169479929</c:v>
                </c:pt>
                <c:pt idx="132">
                  <c:v>25.957200169479929</c:v>
                </c:pt>
                <c:pt idx="133">
                  <c:v>25.957200169479929</c:v>
                </c:pt>
                <c:pt idx="134">
                  <c:v>25.957200169479929</c:v>
                </c:pt>
                <c:pt idx="135">
                  <c:v>25.957200169479929</c:v>
                </c:pt>
                <c:pt idx="136">
                  <c:v>25.957200169479929</c:v>
                </c:pt>
                <c:pt idx="137">
                  <c:v>25.957200169479929</c:v>
                </c:pt>
                <c:pt idx="138">
                  <c:v>25.957200169479929</c:v>
                </c:pt>
                <c:pt idx="139">
                  <c:v>25.957200169479929</c:v>
                </c:pt>
                <c:pt idx="140">
                  <c:v>25.957200169479929</c:v>
                </c:pt>
                <c:pt idx="141">
                  <c:v>25.957200169479929</c:v>
                </c:pt>
                <c:pt idx="142">
                  <c:v>25.957200169479929</c:v>
                </c:pt>
                <c:pt idx="143">
                  <c:v>25.957200169479929</c:v>
                </c:pt>
                <c:pt idx="144">
                  <c:v>25.957200169479929</c:v>
                </c:pt>
                <c:pt idx="145">
                  <c:v>25.957200169479929</c:v>
                </c:pt>
                <c:pt idx="146">
                  <c:v>25.957200169479929</c:v>
                </c:pt>
                <c:pt idx="147">
                  <c:v>25.957200169479929</c:v>
                </c:pt>
                <c:pt idx="148">
                  <c:v>25.957200169479929</c:v>
                </c:pt>
                <c:pt idx="149">
                  <c:v>25.957200169479929</c:v>
                </c:pt>
                <c:pt idx="150">
                  <c:v>25.957200169479929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8E-4BED-8D9B-77EC5F20C99F}"/>
            </c:ext>
          </c:extLst>
        </c:ser>
        <c:ser>
          <c:idx val="5"/>
          <c:order val="4"/>
          <c:tx>
            <c:strRef>
              <c:f>'Carta 0'!$AP$6</c:f>
              <c:strCache>
                <c:ptCount val="1"/>
                <c:pt idx="0">
                  <c:v>L.D.I.</c:v>
                </c:pt>
              </c:strCache>
            </c:strRef>
          </c:tx>
          <c:spPr>
            <a:ln w="19050" cap="rnd">
              <a:solidFill>
                <a:srgbClr val="FFFF00">
                  <a:alpha val="8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0'!$AI$7:$AI$157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0'!$AP$7:$AP$157</c:f>
              <c:numCache>
                <c:formatCode>0.000</c:formatCode>
                <c:ptCount val="151"/>
                <c:pt idx="0">
                  <c:v>25.659199830520048</c:v>
                </c:pt>
                <c:pt idx="1">
                  <c:v>25.659199830520048</c:v>
                </c:pt>
                <c:pt idx="2">
                  <c:v>25.659199830520048</c:v>
                </c:pt>
                <c:pt idx="3">
                  <c:v>25.659199830520048</c:v>
                </c:pt>
                <c:pt idx="4">
                  <c:v>25.659199830520048</c:v>
                </c:pt>
                <c:pt idx="5">
                  <c:v>25.659199830520048</c:v>
                </c:pt>
                <c:pt idx="6">
                  <c:v>25.659199830520048</c:v>
                </c:pt>
                <c:pt idx="7">
                  <c:v>25.659199830520048</c:v>
                </c:pt>
                <c:pt idx="8">
                  <c:v>25.659199830520048</c:v>
                </c:pt>
                <c:pt idx="9">
                  <c:v>25.659199830520048</c:v>
                </c:pt>
                <c:pt idx="10">
                  <c:v>25.659199830520048</c:v>
                </c:pt>
                <c:pt idx="11">
                  <c:v>25.659199830520048</c:v>
                </c:pt>
                <c:pt idx="12">
                  <c:v>25.659199830520048</c:v>
                </c:pt>
                <c:pt idx="13">
                  <c:v>25.659199830520048</c:v>
                </c:pt>
                <c:pt idx="14">
                  <c:v>25.659199830520048</c:v>
                </c:pt>
                <c:pt idx="15">
                  <c:v>25.659199830520048</c:v>
                </c:pt>
                <c:pt idx="16">
                  <c:v>25.659199830520048</c:v>
                </c:pt>
                <c:pt idx="17">
                  <c:v>25.659199830520048</c:v>
                </c:pt>
                <c:pt idx="18">
                  <c:v>25.659199830520048</c:v>
                </c:pt>
                <c:pt idx="19">
                  <c:v>25.659199830520048</c:v>
                </c:pt>
                <c:pt idx="20">
                  <c:v>25.659199830520048</c:v>
                </c:pt>
                <c:pt idx="21">
                  <c:v>25.659199830520048</c:v>
                </c:pt>
                <c:pt idx="22">
                  <c:v>25.659199830520048</c:v>
                </c:pt>
                <c:pt idx="23">
                  <c:v>25.659199830520048</c:v>
                </c:pt>
                <c:pt idx="24">
                  <c:v>25.659199830520048</c:v>
                </c:pt>
                <c:pt idx="25">
                  <c:v>25.659199830520048</c:v>
                </c:pt>
                <c:pt idx="26">
                  <c:v>25.659199830520048</c:v>
                </c:pt>
                <c:pt idx="27">
                  <c:v>25.659199830520048</c:v>
                </c:pt>
                <c:pt idx="28">
                  <c:v>25.659199830520048</c:v>
                </c:pt>
                <c:pt idx="29">
                  <c:v>25.659199830520048</c:v>
                </c:pt>
                <c:pt idx="30">
                  <c:v>25.659199830520048</c:v>
                </c:pt>
                <c:pt idx="31">
                  <c:v>25.659199830520048</c:v>
                </c:pt>
                <c:pt idx="32">
                  <c:v>25.659199830520048</c:v>
                </c:pt>
                <c:pt idx="33">
                  <c:v>25.659199830520048</c:v>
                </c:pt>
                <c:pt idx="34">
                  <c:v>25.659199830520048</c:v>
                </c:pt>
                <c:pt idx="35">
                  <c:v>25.659199830520048</c:v>
                </c:pt>
                <c:pt idx="36">
                  <c:v>25.659199830520048</c:v>
                </c:pt>
                <c:pt idx="37">
                  <c:v>25.659199830520048</c:v>
                </c:pt>
                <c:pt idx="38">
                  <c:v>25.659199830520048</c:v>
                </c:pt>
                <c:pt idx="39">
                  <c:v>25.659199830520048</c:v>
                </c:pt>
                <c:pt idx="40">
                  <c:v>25.659199830520048</c:v>
                </c:pt>
                <c:pt idx="41">
                  <c:v>25.659199830520048</c:v>
                </c:pt>
                <c:pt idx="42">
                  <c:v>25.659199830520048</c:v>
                </c:pt>
                <c:pt idx="43">
                  <c:v>25.659199830520048</c:v>
                </c:pt>
                <c:pt idx="44">
                  <c:v>25.659199830520048</c:v>
                </c:pt>
                <c:pt idx="45">
                  <c:v>25.659199830520048</c:v>
                </c:pt>
                <c:pt idx="46">
                  <c:v>25.659199830520048</c:v>
                </c:pt>
                <c:pt idx="47">
                  <c:v>25.659199830520048</c:v>
                </c:pt>
                <c:pt idx="48">
                  <c:v>25.659199830520048</c:v>
                </c:pt>
                <c:pt idx="49">
                  <c:v>25.659199830520048</c:v>
                </c:pt>
                <c:pt idx="50">
                  <c:v>25.659199830520048</c:v>
                </c:pt>
                <c:pt idx="51">
                  <c:v>25.659199830520048</c:v>
                </c:pt>
                <c:pt idx="52">
                  <c:v>25.659199830520048</c:v>
                </c:pt>
                <c:pt idx="53">
                  <c:v>25.659199830520048</c:v>
                </c:pt>
                <c:pt idx="54">
                  <c:v>25.659199830520048</c:v>
                </c:pt>
                <c:pt idx="55">
                  <c:v>25.659199830520048</c:v>
                </c:pt>
                <c:pt idx="56">
                  <c:v>25.659199830520048</c:v>
                </c:pt>
                <c:pt idx="57">
                  <c:v>25.659199830520048</c:v>
                </c:pt>
                <c:pt idx="58">
                  <c:v>25.659199830520048</c:v>
                </c:pt>
                <c:pt idx="59">
                  <c:v>25.659199830520048</c:v>
                </c:pt>
                <c:pt idx="60">
                  <c:v>25.659199830520048</c:v>
                </c:pt>
                <c:pt idx="61">
                  <c:v>25.659199830520048</c:v>
                </c:pt>
                <c:pt idx="62">
                  <c:v>25.659199830520048</c:v>
                </c:pt>
                <c:pt idx="63">
                  <c:v>25.659199830520048</c:v>
                </c:pt>
                <c:pt idx="64">
                  <c:v>25.659199830520048</c:v>
                </c:pt>
                <c:pt idx="65">
                  <c:v>25.659199830520048</c:v>
                </c:pt>
                <c:pt idx="66">
                  <c:v>25.659199830520048</c:v>
                </c:pt>
                <c:pt idx="67">
                  <c:v>25.659199830520048</c:v>
                </c:pt>
                <c:pt idx="68">
                  <c:v>25.659199830520048</c:v>
                </c:pt>
                <c:pt idx="69">
                  <c:v>25.659199830520048</c:v>
                </c:pt>
                <c:pt idx="70">
                  <c:v>25.659199830520048</c:v>
                </c:pt>
                <c:pt idx="71">
                  <c:v>25.659199830520048</c:v>
                </c:pt>
                <c:pt idx="72">
                  <c:v>25.659199830520048</c:v>
                </c:pt>
                <c:pt idx="73">
                  <c:v>25.659199830520048</c:v>
                </c:pt>
                <c:pt idx="74">
                  <c:v>25.659199830520048</c:v>
                </c:pt>
                <c:pt idx="75">
                  <c:v>25.659199830520048</c:v>
                </c:pt>
                <c:pt idx="76">
                  <c:v>25.659199830520048</c:v>
                </c:pt>
                <c:pt idx="77">
                  <c:v>25.659199830520048</c:v>
                </c:pt>
                <c:pt idx="78">
                  <c:v>25.659199830520048</c:v>
                </c:pt>
                <c:pt idx="79">
                  <c:v>25.659199830520048</c:v>
                </c:pt>
                <c:pt idx="80">
                  <c:v>25.659199830520048</c:v>
                </c:pt>
                <c:pt idx="81">
                  <c:v>25.659199830520048</c:v>
                </c:pt>
                <c:pt idx="82">
                  <c:v>25.659199830520048</c:v>
                </c:pt>
                <c:pt idx="83">
                  <c:v>25.659199830520048</c:v>
                </c:pt>
                <c:pt idx="84">
                  <c:v>25.659199830520048</c:v>
                </c:pt>
                <c:pt idx="85">
                  <c:v>25.659199830520048</c:v>
                </c:pt>
                <c:pt idx="86">
                  <c:v>25.659199830520048</c:v>
                </c:pt>
                <c:pt idx="87">
                  <c:v>25.659199830520048</c:v>
                </c:pt>
                <c:pt idx="88">
                  <c:v>25.659199830520048</c:v>
                </c:pt>
                <c:pt idx="89">
                  <c:v>25.659199830520048</c:v>
                </c:pt>
                <c:pt idx="90">
                  <c:v>25.659199830520048</c:v>
                </c:pt>
                <c:pt idx="91">
                  <c:v>25.659199830520048</c:v>
                </c:pt>
                <c:pt idx="92">
                  <c:v>25.659199830520048</c:v>
                </c:pt>
                <c:pt idx="93">
                  <c:v>25.659199830520048</c:v>
                </c:pt>
                <c:pt idx="94">
                  <c:v>25.659199830520048</c:v>
                </c:pt>
                <c:pt idx="95">
                  <c:v>25.659199830520048</c:v>
                </c:pt>
                <c:pt idx="96">
                  <c:v>25.659199830520048</c:v>
                </c:pt>
                <c:pt idx="97">
                  <c:v>25.659199830520048</c:v>
                </c:pt>
                <c:pt idx="98">
                  <c:v>25.659199830520048</c:v>
                </c:pt>
                <c:pt idx="99">
                  <c:v>25.659199830520048</c:v>
                </c:pt>
                <c:pt idx="100">
                  <c:v>25.659199830520048</c:v>
                </c:pt>
                <c:pt idx="101">
                  <c:v>25.659199830520048</c:v>
                </c:pt>
                <c:pt idx="102">
                  <c:v>25.659199830520048</c:v>
                </c:pt>
                <c:pt idx="103">
                  <c:v>25.659199830520048</c:v>
                </c:pt>
                <c:pt idx="104">
                  <c:v>25.659199830520048</c:v>
                </c:pt>
                <c:pt idx="105">
                  <c:v>25.659199830520048</c:v>
                </c:pt>
                <c:pt idx="106">
                  <c:v>25.659199830520048</c:v>
                </c:pt>
                <c:pt idx="107">
                  <c:v>25.659199830520048</c:v>
                </c:pt>
                <c:pt idx="108">
                  <c:v>25.659199830520048</c:v>
                </c:pt>
                <c:pt idx="109">
                  <c:v>25.659199830520048</c:v>
                </c:pt>
                <c:pt idx="110">
                  <c:v>25.659199830520048</c:v>
                </c:pt>
                <c:pt idx="111">
                  <c:v>25.659199830520048</c:v>
                </c:pt>
                <c:pt idx="112">
                  <c:v>25.659199830520048</c:v>
                </c:pt>
                <c:pt idx="113">
                  <c:v>25.659199830520048</c:v>
                </c:pt>
                <c:pt idx="114">
                  <c:v>25.659199830520048</c:v>
                </c:pt>
                <c:pt idx="115">
                  <c:v>25.659199830520048</c:v>
                </c:pt>
                <c:pt idx="116">
                  <c:v>25.659199830520048</c:v>
                </c:pt>
                <c:pt idx="117">
                  <c:v>25.659199830520048</c:v>
                </c:pt>
                <c:pt idx="118">
                  <c:v>25.659199830520048</c:v>
                </c:pt>
                <c:pt idx="119">
                  <c:v>25.659199830520048</c:v>
                </c:pt>
                <c:pt idx="120">
                  <c:v>25.659199830520048</c:v>
                </c:pt>
                <c:pt idx="121">
                  <c:v>25.659199830520048</c:v>
                </c:pt>
                <c:pt idx="122">
                  <c:v>25.659199830520048</c:v>
                </c:pt>
                <c:pt idx="123">
                  <c:v>25.659199830520048</c:v>
                </c:pt>
                <c:pt idx="124">
                  <c:v>25.659199830520048</c:v>
                </c:pt>
                <c:pt idx="125">
                  <c:v>25.659199830520048</c:v>
                </c:pt>
                <c:pt idx="126">
                  <c:v>25.659199830520048</c:v>
                </c:pt>
                <c:pt idx="127">
                  <c:v>25.659199830520048</c:v>
                </c:pt>
                <c:pt idx="128">
                  <c:v>25.659199830520048</c:v>
                </c:pt>
                <c:pt idx="129">
                  <c:v>25.659199830520048</c:v>
                </c:pt>
                <c:pt idx="130">
                  <c:v>25.659199830520048</c:v>
                </c:pt>
                <c:pt idx="131">
                  <c:v>25.659199830520048</c:v>
                </c:pt>
                <c:pt idx="132">
                  <c:v>25.659199830520048</c:v>
                </c:pt>
                <c:pt idx="133">
                  <c:v>25.659199830520048</c:v>
                </c:pt>
                <c:pt idx="134">
                  <c:v>25.659199830520048</c:v>
                </c:pt>
                <c:pt idx="135">
                  <c:v>25.659199830520048</c:v>
                </c:pt>
                <c:pt idx="136">
                  <c:v>25.659199830520048</c:v>
                </c:pt>
                <c:pt idx="137">
                  <c:v>25.659199830520048</c:v>
                </c:pt>
                <c:pt idx="138">
                  <c:v>25.659199830520048</c:v>
                </c:pt>
                <c:pt idx="139">
                  <c:v>25.659199830520048</c:v>
                </c:pt>
                <c:pt idx="140">
                  <c:v>25.659199830520048</c:v>
                </c:pt>
                <c:pt idx="141">
                  <c:v>25.659199830520048</c:v>
                </c:pt>
                <c:pt idx="142">
                  <c:v>25.659199830520048</c:v>
                </c:pt>
                <c:pt idx="143">
                  <c:v>25.659199830520048</c:v>
                </c:pt>
                <c:pt idx="144">
                  <c:v>25.659199830520048</c:v>
                </c:pt>
                <c:pt idx="145">
                  <c:v>25.659199830520048</c:v>
                </c:pt>
                <c:pt idx="146">
                  <c:v>25.659199830520048</c:v>
                </c:pt>
                <c:pt idx="147">
                  <c:v>25.659199830520048</c:v>
                </c:pt>
                <c:pt idx="148">
                  <c:v>25.659199830520048</c:v>
                </c:pt>
                <c:pt idx="149">
                  <c:v>25.659199830520048</c:v>
                </c:pt>
                <c:pt idx="150">
                  <c:v>25.659199830520048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48E-4BED-8D9B-77EC5F20C99F}"/>
            </c:ext>
          </c:extLst>
        </c:ser>
        <c:ser>
          <c:idx val="6"/>
          <c:order val="5"/>
          <c:tx>
            <c:strRef>
              <c:f>'Carta 0'!$Z$6</c:f>
              <c:strCache>
                <c:ptCount val="1"/>
                <c:pt idx="0">
                  <c:v>L.1S.S.</c:v>
                </c:pt>
              </c:strCache>
            </c:strRef>
          </c:tx>
          <c:spPr>
            <a:ln w="19050" cap="rnd">
              <a:solidFill>
                <a:srgbClr val="00B050">
                  <a:alpha val="6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0'!$R$7:$R$157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0'!$AQ$7:$AQ$157</c:f>
              <c:numCache>
                <c:formatCode>0.000</c:formatCode>
                <c:ptCount val="151"/>
                <c:pt idx="0">
                  <c:v>25.882700084739959</c:v>
                </c:pt>
                <c:pt idx="1">
                  <c:v>25.882700084739959</c:v>
                </c:pt>
                <c:pt idx="2">
                  <c:v>25.882700084739959</c:v>
                </c:pt>
                <c:pt idx="3">
                  <c:v>25.882700084739959</c:v>
                </c:pt>
                <c:pt idx="4">
                  <c:v>25.882700084739959</c:v>
                </c:pt>
                <c:pt idx="5">
                  <c:v>25.882700084739959</c:v>
                </c:pt>
                <c:pt idx="6">
                  <c:v>25.882700084739959</c:v>
                </c:pt>
                <c:pt idx="7">
                  <c:v>25.882700084739959</c:v>
                </c:pt>
                <c:pt idx="8">
                  <c:v>25.882700084739959</c:v>
                </c:pt>
                <c:pt idx="9">
                  <c:v>25.882700084739959</c:v>
                </c:pt>
                <c:pt idx="10">
                  <c:v>25.882700084739959</c:v>
                </c:pt>
                <c:pt idx="11">
                  <c:v>25.882700084739959</c:v>
                </c:pt>
                <c:pt idx="12">
                  <c:v>25.882700084739959</c:v>
                </c:pt>
                <c:pt idx="13">
                  <c:v>25.882700084739959</c:v>
                </c:pt>
                <c:pt idx="14">
                  <c:v>25.882700084739959</c:v>
                </c:pt>
                <c:pt idx="15">
                  <c:v>25.882700084739959</c:v>
                </c:pt>
                <c:pt idx="16">
                  <c:v>25.882700084739959</c:v>
                </c:pt>
                <c:pt idx="17">
                  <c:v>25.882700084739959</c:v>
                </c:pt>
                <c:pt idx="18">
                  <c:v>25.882700084739959</c:v>
                </c:pt>
                <c:pt idx="19">
                  <c:v>25.882700084739959</c:v>
                </c:pt>
                <c:pt idx="20">
                  <c:v>25.882700084739959</c:v>
                </c:pt>
                <c:pt idx="21">
                  <c:v>25.882700084739959</c:v>
                </c:pt>
                <c:pt idx="22">
                  <c:v>25.882700084739959</c:v>
                </c:pt>
                <c:pt idx="23">
                  <c:v>25.882700084739959</c:v>
                </c:pt>
                <c:pt idx="24">
                  <c:v>25.882700084739959</c:v>
                </c:pt>
                <c:pt idx="25">
                  <c:v>25.882700084739959</c:v>
                </c:pt>
                <c:pt idx="26">
                  <c:v>25.882700084739959</c:v>
                </c:pt>
                <c:pt idx="27">
                  <c:v>25.882700084739959</c:v>
                </c:pt>
                <c:pt idx="28">
                  <c:v>25.882700084739959</c:v>
                </c:pt>
                <c:pt idx="29">
                  <c:v>25.882700084739959</c:v>
                </c:pt>
                <c:pt idx="30">
                  <c:v>25.882700084739959</c:v>
                </c:pt>
                <c:pt idx="31">
                  <c:v>25.882700084739959</c:v>
                </c:pt>
                <c:pt idx="32">
                  <c:v>25.882700084739959</c:v>
                </c:pt>
                <c:pt idx="33">
                  <c:v>25.882700084739959</c:v>
                </c:pt>
                <c:pt idx="34">
                  <c:v>25.882700084739959</c:v>
                </c:pt>
                <c:pt idx="35">
                  <c:v>25.882700084739959</c:v>
                </c:pt>
                <c:pt idx="36">
                  <c:v>25.882700084739959</c:v>
                </c:pt>
                <c:pt idx="37">
                  <c:v>25.882700084739959</c:v>
                </c:pt>
                <c:pt idx="38">
                  <c:v>25.882700084739959</c:v>
                </c:pt>
                <c:pt idx="39">
                  <c:v>25.882700084739959</c:v>
                </c:pt>
                <c:pt idx="40">
                  <c:v>25.882700084739959</c:v>
                </c:pt>
                <c:pt idx="41">
                  <c:v>25.882700084739959</c:v>
                </c:pt>
                <c:pt idx="42">
                  <c:v>25.882700084739959</c:v>
                </c:pt>
                <c:pt idx="43">
                  <c:v>25.882700084739959</c:v>
                </c:pt>
                <c:pt idx="44">
                  <c:v>25.882700084739959</c:v>
                </c:pt>
                <c:pt idx="45">
                  <c:v>25.882700084739959</c:v>
                </c:pt>
                <c:pt idx="46">
                  <c:v>25.882700084739959</c:v>
                </c:pt>
                <c:pt idx="47">
                  <c:v>25.882700084739959</c:v>
                </c:pt>
                <c:pt idx="48">
                  <c:v>25.882700084739959</c:v>
                </c:pt>
                <c:pt idx="49">
                  <c:v>25.882700084739959</c:v>
                </c:pt>
                <c:pt idx="50">
                  <c:v>25.882700084739959</c:v>
                </c:pt>
                <c:pt idx="51">
                  <c:v>25.882700084739959</c:v>
                </c:pt>
                <c:pt idx="52">
                  <c:v>25.882700084739959</c:v>
                </c:pt>
                <c:pt idx="53">
                  <c:v>25.882700084739959</c:v>
                </c:pt>
                <c:pt idx="54">
                  <c:v>25.882700084739959</c:v>
                </c:pt>
                <c:pt idx="55">
                  <c:v>25.882700084739959</c:v>
                </c:pt>
                <c:pt idx="56">
                  <c:v>25.882700084739959</c:v>
                </c:pt>
                <c:pt idx="57">
                  <c:v>25.882700084739959</c:v>
                </c:pt>
                <c:pt idx="58">
                  <c:v>25.882700084739959</c:v>
                </c:pt>
                <c:pt idx="59">
                  <c:v>25.882700084739959</c:v>
                </c:pt>
                <c:pt idx="60">
                  <c:v>25.882700084739959</c:v>
                </c:pt>
                <c:pt idx="61">
                  <c:v>25.882700084739959</c:v>
                </c:pt>
                <c:pt idx="62">
                  <c:v>25.882700084739959</c:v>
                </c:pt>
                <c:pt idx="63">
                  <c:v>25.882700084739959</c:v>
                </c:pt>
                <c:pt idx="64">
                  <c:v>25.882700084739959</c:v>
                </c:pt>
                <c:pt idx="65">
                  <c:v>25.882700084739959</c:v>
                </c:pt>
                <c:pt idx="66">
                  <c:v>25.882700084739959</c:v>
                </c:pt>
                <c:pt idx="67">
                  <c:v>25.882700084739959</c:v>
                </c:pt>
                <c:pt idx="68">
                  <c:v>25.882700084739959</c:v>
                </c:pt>
                <c:pt idx="69">
                  <c:v>25.882700084739959</c:v>
                </c:pt>
                <c:pt idx="70">
                  <c:v>25.882700084739959</c:v>
                </c:pt>
                <c:pt idx="71">
                  <c:v>25.882700084739959</c:v>
                </c:pt>
                <c:pt idx="72">
                  <c:v>25.882700084739959</c:v>
                </c:pt>
                <c:pt idx="73">
                  <c:v>25.882700084739959</c:v>
                </c:pt>
                <c:pt idx="74">
                  <c:v>25.882700084739959</c:v>
                </c:pt>
                <c:pt idx="75">
                  <c:v>25.882700084739959</c:v>
                </c:pt>
                <c:pt idx="76">
                  <c:v>25.882700084739959</c:v>
                </c:pt>
                <c:pt idx="77">
                  <c:v>25.882700084739959</c:v>
                </c:pt>
                <c:pt idx="78">
                  <c:v>25.882700084739959</c:v>
                </c:pt>
                <c:pt idx="79">
                  <c:v>25.882700084739959</c:v>
                </c:pt>
                <c:pt idx="80">
                  <c:v>25.882700084739959</c:v>
                </c:pt>
                <c:pt idx="81">
                  <c:v>25.882700084739959</c:v>
                </c:pt>
                <c:pt idx="82">
                  <c:v>25.882700084739959</c:v>
                </c:pt>
                <c:pt idx="83">
                  <c:v>25.882700084739959</c:v>
                </c:pt>
                <c:pt idx="84">
                  <c:v>25.882700084739959</c:v>
                </c:pt>
                <c:pt idx="85">
                  <c:v>25.882700084739959</c:v>
                </c:pt>
                <c:pt idx="86">
                  <c:v>25.882700084739959</c:v>
                </c:pt>
                <c:pt idx="87">
                  <c:v>25.882700084739959</c:v>
                </c:pt>
                <c:pt idx="88">
                  <c:v>25.882700084739959</c:v>
                </c:pt>
                <c:pt idx="89">
                  <c:v>25.882700084739959</c:v>
                </c:pt>
                <c:pt idx="90">
                  <c:v>25.882700084739959</c:v>
                </c:pt>
                <c:pt idx="91">
                  <c:v>25.882700084739959</c:v>
                </c:pt>
                <c:pt idx="92">
                  <c:v>25.882700084739959</c:v>
                </c:pt>
                <c:pt idx="93">
                  <c:v>25.882700084739959</c:v>
                </c:pt>
                <c:pt idx="94">
                  <c:v>25.882700084739959</c:v>
                </c:pt>
                <c:pt idx="95">
                  <c:v>25.882700084739959</c:v>
                </c:pt>
                <c:pt idx="96">
                  <c:v>25.882700084739959</c:v>
                </c:pt>
                <c:pt idx="97">
                  <c:v>25.882700084739959</c:v>
                </c:pt>
                <c:pt idx="98">
                  <c:v>25.882700084739959</c:v>
                </c:pt>
                <c:pt idx="99">
                  <c:v>25.882700084739959</c:v>
                </c:pt>
                <c:pt idx="100">
                  <c:v>25.882700084739959</c:v>
                </c:pt>
                <c:pt idx="101">
                  <c:v>25.882700084739959</c:v>
                </c:pt>
                <c:pt idx="102">
                  <c:v>25.882700084739959</c:v>
                </c:pt>
                <c:pt idx="103">
                  <c:v>25.882700084739959</c:v>
                </c:pt>
                <c:pt idx="104">
                  <c:v>25.882700084739959</c:v>
                </c:pt>
                <c:pt idx="105">
                  <c:v>25.882700084739959</c:v>
                </c:pt>
                <c:pt idx="106">
                  <c:v>25.882700084739959</c:v>
                </c:pt>
                <c:pt idx="107">
                  <c:v>25.882700084739959</c:v>
                </c:pt>
                <c:pt idx="108">
                  <c:v>25.882700084739959</c:v>
                </c:pt>
                <c:pt idx="109">
                  <c:v>25.882700084739959</c:v>
                </c:pt>
                <c:pt idx="110">
                  <c:v>25.882700084739959</c:v>
                </c:pt>
                <c:pt idx="111">
                  <c:v>25.882700084739959</c:v>
                </c:pt>
                <c:pt idx="112">
                  <c:v>25.882700084739959</c:v>
                </c:pt>
                <c:pt idx="113">
                  <c:v>25.882700084739959</c:v>
                </c:pt>
                <c:pt idx="114">
                  <c:v>25.882700084739959</c:v>
                </c:pt>
                <c:pt idx="115">
                  <c:v>25.882700084739959</c:v>
                </c:pt>
                <c:pt idx="116">
                  <c:v>25.882700084739959</c:v>
                </c:pt>
                <c:pt idx="117">
                  <c:v>25.882700084739959</c:v>
                </c:pt>
                <c:pt idx="118">
                  <c:v>25.882700084739959</c:v>
                </c:pt>
                <c:pt idx="119">
                  <c:v>25.882700084739959</c:v>
                </c:pt>
                <c:pt idx="120">
                  <c:v>25.882700084739959</c:v>
                </c:pt>
                <c:pt idx="121">
                  <c:v>25.882700084739959</c:v>
                </c:pt>
                <c:pt idx="122">
                  <c:v>25.882700084739959</c:v>
                </c:pt>
                <c:pt idx="123">
                  <c:v>25.882700084739959</c:v>
                </c:pt>
                <c:pt idx="124">
                  <c:v>25.882700084739959</c:v>
                </c:pt>
                <c:pt idx="125">
                  <c:v>25.882700084739959</c:v>
                </c:pt>
                <c:pt idx="126">
                  <c:v>25.882700084739959</c:v>
                </c:pt>
                <c:pt idx="127">
                  <c:v>25.882700084739959</c:v>
                </c:pt>
                <c:pt idx="128">
                  <c:v>25.882700084739959</c:v>
                </c:pt>
                <c:pt idx="129">
                  <c:v>25.882700084739959</c:v>
                </c:pt>
                <c:pt idx="130">
                  <c:v>25.882700084739959</c:v>
                </c:pt>
                <c:pt idx="131">
                  <c:v>25.882700084739959</c:v>
                </c:pt>
                <c:pt idx="132">
                  <c:v>25.882700084739959</c:v>
                </c:pt>
                <c:pt idx="133">
                  <c:v>25.882700084739959</c:v>
                </c:pt>
                <c:pt idx="134">
                  <c:v>25.882700084739959</c:v>
                </c:pt>
                <c:pt idx="135">
                  <c:v>25.882700084739959</c:v>
                </c:pt>
                <c:pt idx="136">
                  <c:v>25.882700084739959</c:v>
                </c:pt>
                <c:pt idx="137">
                  <c:v>25.882700084739959</c:v>
                </c:pt>
                <c:pt idx="138">
                  <c:v>25.882700084739959</c:v>
                </c:pt>
                <c:pt idx="139">
                  <c:v>25.882700084739959</c:v>
                </c:pt>
                <c:pt idx="140">
                  <c:v>25.882700084739959</c:v>
                </c:pt>
                <c:pt idx="141">
                  <c:v>25.882700084739959</c:v>
                </c:pt>
                <c:pt idx="142">
                  <c:v>25.882700084739959</c:v>
                </c:pt>
                <c:pt idx="143">
                  <c:v>25.882700084739959</c:v>
                </c:pt>
                <c:pt idx="144">
                  <c:v>25.882700084739959</c:v>
                </c:pt>
                <c:pt idx="145">
                  <c:v>25.882700084739959</c:v>
                </c:pt>
                <c:pt idx="146">
                  <c:v>25.882700084739959</c:v>
                </c:pt>
                <c:pt idx="147">
                  <c:v>25.882700084739959</c:v>
                </c:pt>
                <c:pt idx="148">
                  <c:v>25.882700084739959</c:v>
                </c:pt>
                <c:pt idx="149">
                  <c:v>25.882700084739959</c:v>
                </c:pt>
                <c:pt idx="150">
                  <c:v>25.882700084739959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8E-4BED-8D9B-77EC5F20C99F}"/>
            </c:ext>
          </c:extLst>
        </c:ser>
        <c:ser>
          <c:idx val="7"/>
          <c:order val="6"/>
          <c:tx>
            <c:strRef>
              <c:f>'Carta 0'!$AR$6</c:f>
              <c:strCache>
                <c:ptCount val="1"/>
                <c:pt idx="0">
                  <c:v>L.1S.I.</c:v>
                </c:pt>
              </c:strCache>
            </c:strRef>
          </c:tx>
          <c:spPr>
            <a:ln w="19050" cap="rnd">
              <a:solidFill>
                <a:srgbClr val="00B050">
                  <a:alpha val="6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0'!$AI$7:$AI$157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0'!$AR$7:$AR$157</c:f>
              <c:numCache>
                <c:formatCode>0.000</c:formatCode>
                <c:ptCount val="151"/>
                <c:pt idx="0">
                  <c:v>25.733699915260019</c:v>
                </c:pt>
                <c:pt idx="1">
                  <c:v>25.733699915260019</c:v>
                </c:pt>
                <c:pt idx="2">
                  <c:v>25.733699915260019</c:v>
                </c:pt>
                <c:pt idx="3">
                  <c:v>25.733699915260019</c:v>
                </c:pt>
                <c:pt idx="4">
                  <c:v>25.733699915260019</c:v>
                </c:pt>
                <c:pt idx="5">
                  <c:v>25.733699915260019</c:v>
                </c:pt>
                <c:pt idx="6">
                  <c:v>25.733699915260019</c:v>
                </c:pt>
                <c:pt idx="7">
                  <c:v>25.733699915260019</c:v>
                </c:pt>
                <c:pt idx="8">
                  <c:v>25.733699915260019</c:v>
                </c:pt>
                <c:pt idx="9">
                  <c:v>25.733699915260019</c:v>
                </c:pt>
                <c:pt idx="10">
                  <c:v>25.733699915260019</c:v>
                </c:pt>
                <c:pt idx="11">
                  <c:v>25.733699915260019</c:v>
                </c:pt>
                <c:pt idx="12">
                  <c:v>25.733699915260019</c:v>
                </c:pt>
                <c:pt idx="13">
                  <c:v>25.733699915260019</c:v>
                </c:pt>
                <c:pt idx="14">
                  <c:v>25.733699915260019</c:v>
                </c:pt>
                <c:pt idx="15">
                  <c:v>25.733699915260019</c:v>
                </c:pt>
                <c:pt idx="16">
                  <c:v>25.733699915260019</c:v>
                </c:pt>
                <c:pt idx="17">
                  <c:v>25.733699915260019</c:v>
                </c:pt>
                <c:pt idx="18">
                  <c:v>25.733699915260019</c:v>
                </c:pt>
                <c:pt idx="19">
                  <c:v>25.733699915260019</c:v>
                </c:pt>
                <c:pt idx="20">
                  <c:v>25.733699915260019</c:v>
                </c:pt>
                <c:pt idx="21">
                  <c:v>25.733699915260019</c:v>
                </c:pt>
                <c:pt idx="22">
                  <c:v>25.733699915260019</c:v>
                </c:pt>
                <c:pt idx="23">
                  <c:v>25.733699915260019</c:v>
                </c:pt>
                <c:pt idx="24">
                  <c:v>25.733699915260019</c:v>
                </c:pt>
                <c:pt idx="25">
                  <c:v>25.733699915260019</c:v>
                </c:pt>
                <c:pt idx="26">
                  <c:v>25.733699915260019</c:v>
                </c:pt>
                <c:pt idx="27">
                  <c:v>25.733699915260019</c:v>
                </c:pt>
                <c:pt idx="28">
                  <c:v>25.733699915260019</c:v>
                </c:pt>
                <c:pt idx="29">
                  <c:v>25.733699915260019</c:v>
                </c:pt>
                <c:pt idx="30">
                  <c:v>25.733699915260019</c:v>
                </c:pt>
                <c:pt idx="31">
                  <c:v>25.733699915260019</c:v>
                </c:pt>
                <c:pt idx="32">
                  <c:v>25.733699915260019</c:v>
                </c:pt>
                <c:pt idx="33">
                  <c:v>25.733699915260019</c:v>
                </c:pt>
                <c:pt idx="34">
                  <c:v>25.733699915260019</c:v>
                </c:pt>
                <c:pt idx="35">
                  <c:v>25.733699915260019</c:v>
                </c:pt>
                <c:pt idx="36">
                  <c:v>25.733699915260019</c:v>
                </c:pt>
                <c:pt idx="37">
                  <c:v>25.733699915260019</c:v>
                </c:pt>
                <c:pt idx="38">
                  <c:v>25.733699915260019</c:v>
                </c:pt>
                <c:pt idx="39">
                  <c:v>25.733699915260019</c:v>
                </c:pt>
                <c:pt idx="40">
                  <c:v>25.733699915260019</c:v>
                </c:pt>
                <c:pt idx="41">
                  <c:v>25.733699915260019</c:v>
                </c:pt>
                <c:pt idx="42">
                  <c:v>25.733699915260019</c:v>
                </c:pt>
                <c:pt idx="43">
                  <c:v>25.733699915260019</c:v>
                </c:pt>
                <c:pt idx="44">
                  <c:v>25.733699915260019</c:v>
                </c:pt>
                <c:pt idx="45">
                  <c:v>25.733699915260019</c:v>
                </c:pt>
                <c:pt idx="46">
                  <c:v>25.733699915260019</c:v>
                </c:pt>
                <c:pt idx="47">
                  <c:v>25.733699915260019</c:v>
                </c:pt>
                <c:pt idx="48">
                  <c:v>25.733699915260019</c:v>
                </c:pt>
                <c:pt idx="49">
                  <c:v>25.733699915260019</c:v>
                </c:pt>
                <c:pt idx="50">
                  <c:v>25.733699915260019</c:v>
                </c:pt>
                <c:pt idx="51">
                  <c:v>25.733699915260019</c:v>
                </c:pt>
                <c:pt idx="52">
                  <c:v>25.733699915260019</c:v>
                </c:pt>
                <c:pt idx="53">
                  <c:v>25.733699915260019</c:v>
                </c:pt>
                <c:pt idx="54">
                  <c:v>25.733699915260019</c:v>
                </c:pt>
                <c:pt idx="55">
                  <c:v>25.733699915260019</c:v>
                </c:pt>
                <c:pt idx="56">
                  <c:v>25.733699915260019</c:v>
                </c:pt>
                <c:pt idx="57">
                  <c:v>25.733699915260019</c:v>
                </c:pt>
                <c:pt idx="58">
                  <c:v>25.733699915260019</c:v>
                </c:pt>
                <c:pt idx="59">
                  <c:v>25.733699915260019</c:v>
                </c:pt>
                <c:pt idx="60">
                  <c:v>25.733699915260019</c:v>
                </c:pt>
                <c:pt idx="61">
                  <c:v>25.733699915260019</c:v>
                </c:pt>
                <c:pt idx="62">
                  <c:v>25.733699915260019</c:v>
                </c:pt>
                <c:pt idx="63">
                  <c:v>25.733699915260019</c:v>
                </c:pt>
                <c:pt idx="64">
                  <c:v>25.733699915260019</c:v>
                </c:pt>
                <c:pt idx="65">
                  <c:v>25.733699915260019</c:v>
                </c:pt>
                <c:pt idx="66">
                  <c:v>25.733699915260019</c:v>
                </c:pt>
                <c:pt idx="67">
                  <c:v>25.733699915260019</c:v>
                </c:pt>
                <c:pt idx="68">
                  <c:v>25.733699915260019</c:v>
                </c:pt>
                <c:pt idx="69">
                  <c:v>25.733699915260019</c:v>
                </c:pt>
                <c:pt idx="70">
                  <c:v>25.733699915260019</c:v>
                </c:pt>
                <c:pt idx="71">
                  <c:v>25.733699915260019</c:v>
                </c:pt>
                <c:pt idx="72">
                  <c:v>25.733699915260019</c:v>
                </c:pt>
                <c:pt idx="73">
                  <c:v>25.733699915260019</c:v>
                </c:pt>
                <c:pt idx="74">
                  <c:v>25.733699915260019</c:v>
                </c:pt>
                <c:pt idx="75">
                  <c:v>25.733699915260019</c:v>
                </c:pt>
                <c:pt idx="76">
                  <c:v>25.733699915260019</c:v>
                </c:pt>
                <c:pt idx="77">
                  <c:v>25.733699915260019</c:v>
                </c:pt>
                <c:pt idx="78">
                  <c:v>25.733699915260019</c:v>
                </c:pt>
                <c:pt idx="79">
                  <c:v>25.733699915260019</c:v>
                </c:pt>
                <c:pt idx="80">
                  <c:v>25.733699915260019</c:v>
                </c:pt>
                <c:pt idx="81">
                  <c:v>25.733699915260019</c:v>
                </c:pt>
                <c:pt idx="82">
                  <c:v>25.733699915260019</c:v>
                </c:pt>
                <c:pt idx="83">
                  <c:v>25.733699915260019</c:v>
                </c:pt>
                <c:pt idx="84">
                  <c:v>25.733699915260019</c:v>
                </c:pt>
                <c:pt idx="85">
                  <c:v>25.733699915260019</c:v>
                </c:pt>
                <c:pt idx="86">
                  <c:v>25.733699915260019</c:v>
                </c:pt>
                <c:pt idx="87">
                  <c:v>25.733699915260019</c:v>
                </c:pt>
                <c:pt idx="88">
                  <c:v>25.733699915260019</c:v>
                </c:pt>
                <c:pt idx="89">
                  <c:v>25.733699915260019</c:v>
                </c:pt>
                <c:pt idx="90">
                  <c:v>25.733699915260019</c:v>
                </c:pt>
                <c:pt idx="91">
                  <c:v>25.733699915260019</c:v>
                </c:pt>
                <c:pt idx="92">
                  <c:v>25.733699915260019</c:v>
                </c:pt>
                <c:pt idx="93">
                  <c:v>25.733699915260019</c:v>
                </c:pt>
                <c:pt idx="94">
                  <c:v>25.733699915260019</c:v>
                </c:pt>
                <c:pt idx="95">
                  <c:v>25.733699915260019</c:v>
                </c:pt>
                <c:pt idx="96">
                  <c:v>25.733699915260019</c:v>
                </c:pt>
                <c:pt idx="97">
                  <c:v>25.733699915260019</c:v>
                </c:pt>
                <c:pt idx="98">
                  <c:v>25.733699915260019</c:v>
                </c:pt>
                <c:pt idx="99">
                  <c:v>25.733699915260019</c:v>
                </c:pt>
                <c:pt idx="100">
                  <c:v>25.733699915260019</c:v>
                </c:pt>
                <c:pt idx="101">
                  <c:v>25.733699915260019</c:v>
                </c:pt>
                <c:pt idx="102">
                  <c:v>25.733699915260019</c:v>
                </c:pt>
                <c:pt idx="103">
                  <c:v>25.733699915260019</c:v>
                </c:pt>
                <c:pt idx="104">
                  <c:v>25.733699915260019</c:v>
                </c:pt>
                <c:pt idx="105">
                  <c:v>25.733699915260019</c:v>
                </c:pt>
                <c:pt idx="106">
                  <c:v>25.733699915260019</c:v>
                </c:pt>
                <c:pt idx="107">
                  <c:v>25.733699915260019</c:v>
                </c:pt>
                <c:pt idx="108">
                  <c:v>25.733699915260019</c:v>
                </c:pt>
                <c:pt idx="109">
                  <c:v>25.733699915260019</c:v>
                </c:pt>
                <c:pt idx="110">
                  <c:v>25.733699915260019</c:v>
                </c:pt>
                <c:pt idx="111">
                  <c:v>25.733699915260019</c:v>
                </c:pt>
                <c:pt idx="112">
                  <c:v>25.733699915260019</c:v>
                </c:pt>
                <c:pt idx="113">
                  <c:v>25.733699915260019</c:v>
                </c:pt>
                <c:pt idx="114">
                  <c:v>25.733699915260019</c:v>
                </c:pt>
                <c:pt idx="115">
                  <c:v>25.733699915260019</c:v>
                </c:pt>
                <c:pt idx="116">
                  <c:v>25.733699915260019</c:v>
                </c:pt>
                <c:pt idx="117">
                  <c:v>25.733699915260019</c:v>
                </c:pt>
                <c:pt idx="118">
                  <c:v>25.733699915260019</c:v>
                </c:pt>
                <c:pt idx="119">
                  <c:v>25.733699915260019</c:v>
                </c:pt>
                <c:pt idx="120">
                  <c:v>25.733699915260019</c:v>
                </c:pt>
                <c:pt idx="121">
                  <c:v>25.733699915260019</c:v>
                </c:pt>
                <c:pt idx="122">
                  <c:v>25.733699915260019</c:v>
                </c:pt>
                <c:pt idx="123">
                  <c:v>25.733699915260019</c:v>
                </c:pt>
                <c:pt idx="124">
                  <c:v>25.733699915260019</c:v>
                </c:pt>
                <c:pt idx="125">
                  <c:v>25.733699915260019</c:v>
                </c:pt>
                <c:pt idx="126">
                  <c:v>25.733699915260019</c:v>
                </c:pt>
                <c:pt idx="127">
                  <c:v>25.733699915260019</c:v>
                </c:pt>
                <c:pt idx="128">
                  <c:v>25.733699915260019</c:v>
                </c:pt>
                <c:pt idx="129">
                  <c:v>25.733699915260019</c:v>
                </c:pt>
                <c:pt idx="130">
                  <c:v>25.733699915260019</c:v>
                </c:pt>
                <c:pt idx="131">
                  <c:v>25.733699915260019</c:v>
                </c:pt>
                <c:pt idx="132">
                  <c:v>25.733699915260019</c:v>
                </c:pt>
                <c:pt idx="133">
                  <c:v>25.733699915260019</c:v>
                </c:pt>
                <c:pt idx="134">
                  <c:v>25.733699915260019</c:v>
                </c:pt>
                <c:pt idx="135">
                  <c:v>25.733699915260019</c:v>
                </c:pt>
                <c:pt idx="136">
                  <c:v>25.733699915260019</c:v>
                </c:pt>
                <c:pt idx="137">
                  <c:v>25.733699915260019</c:v>
                </c:pt>
                <c:pt idx="138">
                  <c:v>25.733699915260019</c:v>
                </c:pt>
                <c:pt idx="139">
                  <c:v>25.733699915260019</c:v>
                </c:pt>
                <c:pt idx="140">
                  <c:v>25.733699915260019</c:v>
                </c:pt>
                <c:pt idx="141">
                  <c:v>25.733699915260019</c:v>
                </c:pt>
                <c:pt idx="142">
                  <c:v>25.733699915260019</c:v>
                </c:pt>
                <c:pt idx="143">
                  <c:v>25.733699915260019</c:v>
                </c:pt>
                <c:pt idx="144">
                  <c:v>25.733699915260019</c:v>
                </c:pt>
                <c:pt idx="145">
                  <c:v>25.733699915260019</c:v>
                </c:pt>
                <c:pt idx="146">
                  <c:v>25.733699915260019</c:v>
                </c:pt>
                <c:pt idx="147">
                  <c:v>25.733699915260019</c:v>
                </c:pt>
                <c:pt idx="148">
                  <c:v>25.733699915260019</c:v>
                </c:pt>
                <c:pt idx="149">
                  <c:v>25.733699915260019</c:v>
                </c:pt>
                <c:pt idx="150">
                  <c:v>25.733699915260019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48E-4BED-8D9B-77EC5F20C99F}"/>
            </c:ext>
          </c:extLst>
        </c:ser>
        <c:ser>
          <c:idx val="0"/>
          <c:order val="7"/>
          <c:tx>
            <c:strRef>
              <c:f>'Carta 0'!$AJ$6</c:f>
              <c:strCache>
                <c:ptCount val="1"/>
                <c:pt idx="0">
                  <c:v>Capilar 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'Carta 0'!$AI$7:$AI$157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0'!$AJ$7:$AJ$157</c:f>
              <c:numCache>
                <c:formatCode>General</c:formatCode>
                <c:ptCount val="151"/>
                <c:pt idx="1">
                  <c:v>25.77</c:v>
                </c:pt>
                <c:pt idx="2">
                  <c:v>25.69</c:v>
                </c:pt>
                <c:pt idx="3">
                  <c:v>25.79</c:v>
                </c:pt>
                <c:pt idx="4">
                  <c:v>25.86</c:v>
                </c:pt>
                <c:pt idx="5">
                  <c:v>25.77</c:v>
                </c:pt>
                <c:pt idx="6">
                  <c:v>25.67</c:v>
                </c:pt>
                <c:pt idx="7">
                  <c:v>25.66</c:v>
                </c:pt>
                <c:pt idx="8">
                  <c:v>25.82</c:v>
                </c:pt>
                <c:pt idx="9">
                  <c:v>25.9</c:v>
                </c:pt>
                <c:pt idx="10">
                  <c:v>25.66</c:v>
                </c:pt>
                <c:pt idx="11">
                  <c:v>25.65</c:v>
                </c:pt>
                <c:pt idx="12">
                  <c:v>25.83</c:v>
                </c:pt>
                <c:pt idx="13">
                  <c:v>25.9</c:v>
                </c:pt>
                <c:pt idx="14">
                  <c:v>25.84</c:v>
                </c:pt>
                <c:pt idx="15">
                  <c:v>25.88</c:v>
                </c:pt>
                <c:pt idx="16">
                  <c:v>25.87</c:v>
                </c:pt>
                <c:pt idx="17" formatCode="0.000">
                  <c:v>25.89</c:v>
                </c:pt>
                <c:pt idx="18">
                  <c:v>25.73</c:v>
                </c:pt>
                <c:pt idx="19">
                  <c:v>25.77</c:v>
                </c:pt>
                <c:pt idx="20">
                  <c:v>25.81</c:v>
                </c:pt>
                <c:pt idx="21">
                  <c:v>25.75</c:v>
                </c:pt>
                <c:pt idx="22">
                  <c:v>25.81</c:v>
                </c:pt>
                <c:pt idx="23">
                  <c:v>25.82</c:v>
                </c:pt>
                <c:pt idx="24">
                  <c:v>25.71</c:v>
                </c:pt>
                <c:pt idx="25">
                  <c:v>25.72</c:v>
                </c:pt>
                <c:pt idx="26">
                  <c:v>25.66</c:v>
                </c:pt>
                <c:pt idx="27">
                  <c:v>25.79</c:v>
                </c:pt>
                <c:pt idx="28">
                  <c:v>25.83</c:v>
                </c:pt>
                <c:pt idx="29">
                  <c:v>25.72</c:v>
                </c:pt>
                <c:pt idx="30" formatCode="0.00">
                  <c:v>25.82</c:v>
                </c:pt>
                <c:pt idx="31">
                  <c:v>25.79</c:v>
                </c:pt>
                <c:pt idx="32">
                  <c:v>25.73</c:v>
                </c:pt>
                <c:pt idx="33">
                  <c:v>25.64</c:v>
                </c:pt>
                <c:pt idx="34">
                  <c:v>25.81</c:v>
                </c:pt>
                <c:pt idx="35">
                  <c:v>25.78</c:v>
                </c:pt>
                <c:pt idx="36">
                  <c:v>25.8</c:v>
                </c:pt>
                <c:pt idx="37">
                  <c:v>26.02</c:v>
                </c:pt>
                <c:pt idx="38">
                  <c:v>25.82</c:v>
                </c:pt>
                <c:pt idx="39" formatCode="0.00">
                  <c:v>25.86</c:v>
                </c:pt>
                <c:pt idx="40">
                  <c:v>25.89</c:v>
                </c:pt>
                <c:pt idx="41">
                  <c:v>25.8</c:v>
                </c:pt>
                <c:pt idx="42">
                  <c:v>25.88</c:v>
                </c:pt>
                <c:pt idx="43">
                  <c:v>25.81</c:v>
                </c:pt>
                <c:pt idx="44">
                  <c:v>25.86</c:v>
                </c:pt>
                <c:pt idx="45">
                  <c:v>25.75</c:v>
                </c:pt>
                <c:pt idx="46">
                  <c:v>25.83</c:v>
                </c:pt>
                <c:pt idx="47">
                  <c:v>25.82</c:v>
                </c:pt>
                <c:pt idx="48">
                  <c:v>25.74</c:v>
                </c:pt>
                <c:pt idx="49">
                  <c:v>25.74</c:v>
                </c:pt>
                <c:pt idx="50">
                  <c:v>25.74</c:v>
                </c:pt>
                <c:pt idx="51">
                  <c:v>25.77</c:v>
                </c:pt>
                <c:pt idx="52">
                  <c:v>25.76</c:v>
                </c:pt>
                <c:pt idx="53">
                  <c:v>25.67</c:v>
                </c:pt>
                <c:pt idx="54">
                  <c:v>25.73</c:v>
                </c:pt>
                <c:pt idx="55">
                  <c:v>25.75</c:v>
                </c:pt>
                <c:pt idx="56">
                  <c:v>25.84</c:v>
                </c:pt>
                <c:pt idx="57">
                  <c:v>25.76</c:v>
                </c:pt>
                <c:pt idx="58">
                  <c:v>25.86</c:v>
                </c:pt>
                <c:pt idx="59">
                  <c:v>25.78</c:v>
                </c:pt>
                <c:pt idx="60">
                  <c:v>25.8</c:v>
                </c:pt>
                <c:pt idx="61">
                  <c:v>25.84</c:v>
                </c:pt>
                <c:pt idx="62">
                  <c:v>25.78</c:v>
                </c:pt>
                <c:pt idx="63">
                  <c:v>25.82</c:v>
                </c:pt>
                <c:pt idx="64">
                  <c:v>25.8</c:v>
                </c:pt>
                <c:pt idx="65">
                  <c:v>25.67</c:v>
                </c:pt>
                <c:pt idx="66">
                  <c:v>25.82</c:v>
                </c:pt>
                <c:pt idx="67">
                  <c:v>25.79</c:v>
                </c:pt>
                <c:pt idx="68">
                  <c:v>25.73</c:v>
                </c:pt>
                <c:pt idx="69">
                  <c:v>25.81</c:v>
                </c:pt>
                <c:pt idx="70">
                  <c:v>25.82</c:v>
                </c:pt>
                <c:pt idx="71">
                  <c:v>25.79</c:v>
                </c:pt>
                <c:pt idx="72">
                  <c:v>25.82</c:v>
                </c:pt>
                <c:pt idx="73">
                  <c:v>25.75</c:v>
                </c:pt>
                <c:pt idx="74">
                  <c:v>25.8</c:v>
                </c:pt>
                <c:pt idx="75">
                  <c:v>25.81</c:v>
                </c:pt>
                <c:pt idx="76">
                  <c:v>25.77</c:v>
                </c:pt>
                <c:pt idx="77">
                  <c:v>25.96</c:v>
                </c:pt>
                <c:pt idx="78">
                  <c:v>25.8</c:v>
                </c:pt>
                <c:pt idx="79">
                  <c:v>25.91</c:v>
                </c:pt>
                <c:pt idx="80">
                  <c:v>25.89</c:v>
                </c:pt>
                <c:pt idx="81">
                  <c:v>25.89</c:v>
                </c:pt>
                <c:pt idx="82">
                  <c:v>25.89</c:v>
                </c:pt>
                <c:pt idx="83">
                  <c:v>25.89</c:v>
                </c:pt>
                <c:pt idx="84">
                  <c:v>25.92</c:v>
                </c:pt>
                <c:pt idx="85">
                  <c:v>25.8</c:v>
                </c:pt>
                <c:pt idx="86">
                  <c:v>25.97</c:v>
                </c:pt>
                <c:pt idx="87">
                  <c:v>25.88</c:v>
                </c:pt>
                <c:pt idx="88">
                  <c:v>25.87</c:v>
                </c:pt>
                <c:pt idx="89">
                  <c:v>25.81</c:v>
                </c:pt>
                <c:pt idx="90">
                  <c:v>25.86</c:v>
                </c:pt>
                <c:pt idx="91">
                  <c:v>25.79</c:v>
                </c:pt>
                <c:pt idx="92">
                  <c:v>25.85</c:v>
                </c:pt>
                <c:pt idx="93">
                  <c:v>25.88</c:v>
                </c:pt>
                <c:pt idx="94">
                  <c:v>25.84</c:v>
                </c:pt>
                <c:pt idx="95">
                  <c:v>25.81</c:v>
                </c:pt>
                <c:pt idx="96">
                  <c:v>25.88</c:v>
                </c:pt>
                <c:pt idx="97">
                  <c:v>25.95</c:v>
                </c:pt>
                <c:pt idx="98">
                  <c:v>25.89</c:v>
                </c:pt>
                <c:pt idx="99">
                  <c:v>25.88</c:v>
                </c:pt>
                <c:pt idx="100">
                  <c:v>25.87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48E-4BED-8D9B-77EC5F20C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522431"/>
        <c:axId val="1059523871"/>
      </c:scatterChart>
      <c:valAx>
        <c:axId val="1059522431"/>
        <c:scaling>
          <c:orientation val="minMax"/>
          <c:max val="15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3871"/>
        <c:crosses val="autoZero"/>
        <c:crossBetween val="midCat"/>
        <c:majorUnit val="5"/>
        <c:minorUnit val="5"/>
      </c:valAx>
      <c:valAx>
        <c:axId val="1059523871"/>
        <c:scaling>
          <c:orientation val="minMax"/>
          <c:min val="25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2431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 3 -Rangos dinamicos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'Carta 0'!$AT$6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'Carta 0'!$AI$7:$AI$157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0'!$AT$7:$AT$157</c:f>
              <c:numCache>
                <c:formatCode>0.00</c:formatCode>
                <c:ptCount val="151"/>
                <c:pt idx="0">
                  <c:v>6.6666666666666249E-2</c:v>
                </c:pt>
                <c:pt idx="1">
                  <c:v>6.6666666666666249E-2</c:v>
                </c:pt>
                <c:pt idx="2">
                  <c:v>6.6666666666666249E-2</c:v>
                </c:pt>
                <c:pt idx="3">
                  <c:v>6.6666666666666249E-2</c:v>
                </c:pt>
                <c:pt idx="4">
                  <c:v>6.6666666666666249E-2</c:v>
                </c:pt>
                <c:pt idx="5">
                  <c:v>6.6666666666666249E-2</c:v>
                </c:pt>
                <c:pt idx="6">
                  <c:v>6.6666666666666249E-2</c:v>
                </c:pt>
                <c:pt idx="7">
                  <c:v>6.6666666666666249E-2</c:v>
                </c:pt>
                <c:pt idx="8">
                  <c:v>6.6666666666666249E-2</c:v>
                </c:pt>
                <c:pt idx="9">
                  <c:v>6.6666666666666249E-2</c:v>
                </c:pt>
                <c:pt idx="10">
                  <c:v>6.6666666666666249E-2</c:v>
                </c:pt>
                <c:pt idx="11">
                  <c:v>6.6666666666666249E-2</c:v>
                </c:pt>
                <c:pt idx="12">
                  <c:v>6.6666666666666249E-2</c:v>
                </c:pt>
                <c:pt idx="13">
                  <c:v>6.6666666666666249E-2</c:v>
                </c:pt>
                <c:pt idx="14">
                  <c:v>6.6666666666666249E-2</c:v>
                </c:pt>
                <c:pt idx="15">
                  <c:v>6.6666666666666249E-2</c:v>
                </c:pt>
                <c:pt idx="16">
                  <c:v>6.6666666666666249E-2</c:v>
                </c:pt>
                <c:pt idx="17">
                  <c:v>6.6666666666666249E-2</c:v>
                </c:pt>
                <c:pt idx="18">
                  <c:v>6.6666666666666249E-2</c:v>
                </c:pt>
                <c:pt idx="19">
                  <c:v>6.6666666666666249E-2</c:v>
                </c:pt>
                <c:pt idx="20">
                  <c:v>6.6666666666666249E-2</c:v>
                </c:pt>
                <c:pt idx="21">
                  <c:v>6.6666666666666249E-2</c:v>
                </c:pt>
                <c:pt idx="22">
                  <c:v>6.6666666666666249E-2</c:v>
                </c:pt>
                <c:pt idx="23">
                  <c:v>6.6666666666666249E-2</c:v>
                </c:pt>
                <c:pt idx="24">
                  <c:v>6.6666666666666249E-2</c:v>
                </c:pt>
                <c:pt idx="25">
                  <c:v>6.6666666666666249E-2</c:v>
                </c:pt>
                <c:pt idx="26">
                  <c:v>6.6666666666666249E-2</c:v>
                </c:pt>
                <c:pt idx="27">
                  <c:v>6.6666666666666249E-2</c:v>
                </c:pt>
                <c:pt idx="28">
                  <c:v>6.6666666666666249E-2</c:v>
                </c:pt>
                <c:pt idx="29">
                  <c:v>6.6666666666666249E-2</c:v>
                </c:pt>
                <c:pt idx="30">
                  <c:v>6.6666666666666249E-2</c:v>
                </c:pt>
                <c:pt idx="31">
                  <c:v>6.6666666666666249E-2</c:v>
                </c:pt>
                <c:pt idx="32">
                  <c:v>6.6666666666666249E-2</c:v>
                </c:pt>
                <c:pt idx="33">
                  <c:v>6.6666666666666249E-2</c:v>
                </c:pt>
                <c:pt idx="34">
                  <c:v>6.6666666666666249E-2</c:v>
                </c:pt>
                <c:pt idx="35">
                  <c:v>6.6666666666666249E-2</c:v>
                </c:pt>
                <c:pt idx="36">
                  <c:v>6.6666666666666249E-2</c:v>
                </c:pt>
                <c:pt idx="37">
                  <c:v>6.6666666666666249E-2</c:v>
                </c:pt>
                <c:pt idx="38">
                  <c:v>6.6666666666666249E-2</c:v>
                </c:pt>
                <c:pt idx="39">
                  <c:v>6.6666666666666249E-2</c:v>
                </c:pt>
                <c:pt idx="40">
                  <c:v>6.6666666666666249E-2</c:v>
                </c:pt>
                <c:pt idx="41">
                  <c:v>6.6666666666666249E-2</c:v>
                </c:pt>
                <c:pt idx="42">
                  <c:v>6.6666666666666249E-2</c:v>
                </c:pt>
                <c:pt idx="43">
                  <c:v>6.6666666666666249E-2</c:v>
                </c:pt>
                <c:pt idx="44">
                  <c:v>6.6666666666666249E-2</c:v>
                </c:pt>
                <c:pt idx="45">
                  <c:v>6.6666666666666249E-2</c:v>
                </c:pt>
                <c:pt idx="46">
                  <c:v>6.6666666666666249E-2</c:v>
                </c:pt>
                <c:pt idx="47">
                  <c:v>6.6666666666666249E-2</c:v>
                </c:pt>
                <c:pt idx="48">
                  <c:v>6.6666666666666249E-2</c:v>
                </c:pt>
                <c:pt idx="49">
                  <c:v>6.6666666666666249E-2</c:v>
                </c:pt>
                <c:pt idx="50">
                  <c:v>6.6666666666666249E-2</c:v>
                </c:pt>
                <c:pt idx="51">
                  <c:v>6.6666666666666249E-2</c:v>
                </c:pt>
                <c:pt idx="52">
                  <c:v>6.6666666666666249E-2</c:v>
                </c:pt>
                <c:pt idx="53">
                  <c:v>6.6666666666666249E-2</c:v>
                </c:pt>
                <c:pt idx="54">
                  <c:v>6.6666666666666249E-2</c:v>
                </c:pt>
                <c:pt idx="55">
                  <c:v>6.6666666666666249E-2</c:v>
                </c:pt>
                <c:pt idx="56">
                  <c:v>6.6666666666666249E-2</c:v>
                </c:pt>
                <c:pt idx="57">
                  <c:v>6.6666666666666249E-2</c:v>
                </c:pt>
                <c:pt idx="58">
                  <c:v>6.6666666666666249E-2</c:v>
                </c:pt>
                <c:pt idx="59">
                  <c:v>6.6666666666666249E-2</c:v>
                </c:pt>
                <c:pt idx="60">
                  <c:v>6.6666666666666249E-2</c:v>
                </c:pt>
                <c:pt idx="61">
                  <c:v>6.6666666666666249E-2</c:v>
                </c:pt>
                <c:pt idx="62">
                  <c:v>6.6666666666666249E-2</c:v>
                </c:pt>
                <c:pt idx="63">
                  <c:v>6.6666666666666249E-2</c:v>
                </c:pt>
                <c:pt idx="64">
                  <c:v>6.6666666666666249E-2</c:v>
                </c:pt>
                <c:pt idx="65">
                  <c:v>6.6666666666666249E-2</c:v>
                </c:pt>
                <c:pt idx="66">
                  <c:v>6.6666666666666249E-2</c:v>
                </c:pt>
                <c:pt idx="67">
                  <c:v>6.6666666666666249E-2</c:v>
                </c:pt>
                <c:pt idx="68">
                  <c:v>6.6666666666666249E-2</c:v>
                </c:pt>
                <c:pt idx="69">
                  <c:v>6.6666666666666249E-2</c:v>
                </c:pt>
                <c:pt idx="70">
                  <c:v>6.6666666666666249E-2</c:v>
                </c:pt>
                <c:pt idx="71">
                  <c:v>6.6666666666666249E-2</c:v>
                </c:pt>
                <c:pt idx="72">
                  <c:v>6.6666666666666249E-2</c:v>
                </c:pt>
                <c:pt idx="73">
                  <c:v>6.6666666666666249E-2</c:v>
                </c:pt>
                <c:pt idx="74">
                  <c:v>6.6666666666666249E-2</c:v>
                </c:pt>
                <c:pt idx="75">
                  <c:v>6.6666666666666249E-2</c:v>
                </c:pt>
                <c:pt idx="76">
                  <c:v>6.6666666666666249E-2</c:v>
                </c:pt>
                <c:pt idx="77">
                  <c:v>6.6666666666666249E-2</c:v>
                </c:pt>
                <c:pt idx="78">
                  <c:v>6.6666666666666249E-2</c:v>
                </c:pt>
                <c:pt idx="79">
                  <c:v>6.6666666666666249E-2</c:v>
                </c:pt>
                <c:pt idx="80">
                  <c:v>6.6666666666666249E-2</c:v>
                </c:pt>
                <c:pt idx="81">
                  <c:v>6.6666666666666249E-2</c:v>
                </c:pt>
                <c:pt idx="82">
                  <c:v>6.6666666666666249E-2</c:v>
                </c:pt>
                <c:pt idx="83">
                  <c:v>6.6666666666666249E-2</c:v>
                </c:pt>
                <c:pt idx="84">
                  <c:v>6.6666666666666249E-2</c:v>
                </c:pt>
                <c:pt idx="85">
                  <c:v>6.6666666666666249E-2</c:v>
                </c:pt>
                <c:pt idx="86">
                  <c:v>6.6666666666666249E-2</c:v>
                </c:pt>
                <c:pt idx="87">
                  <c:v>6.6666666666666249E-2</c:v>
                </c:pt>
                <c:pt idx="88">
                  <c:v>6.6666666666666249E-2</c:v>
                </c:pt>
                <c:pt idx="89">
                  <c:v>6.6666666666666249E-2</c:v>
                </c:pt>
                <c:pt idx="90">
                  <c:v>6.6666666666666249E-2</c:v>
                </c:pt>
                <c:pt idx="91">
                  <c:v>6.6666666666666249E-2</c:v>
                </c:pt>
                <c:pt idx="92">
                  <c:v>6.6666666666666249E-2</c:v>
                </c:pt>
                <c:pt idx="93">
                  <c:v>6.6666666666666249E-2</c:v>
                </c:pt>
                <c:pt idx="94">
                  <c:v>6.6666666666666249E-2</c:v>
                </c:pt>
                <c:pt idx="95">
                  <c:v>6.6666666666666249E-2</c:v>
                </c:pt>
                <c:pt idx="96">
                  <c:v>6.6666666666666249E-2</c:v>
                </c:pt>
                <c:pt idx="97">
                  <c:v>6.6666666666666249E-2</c:v>
                </c:pt>
                <c:pt idx="98">
                  <c:v>6.6666666666666249E-2</c:v>
                </c:pt>
                <c:pt idx="99">
                  <c:v>6.6666666666666249E-2</c:v>
                </c:pt>
                <c:pt idx="100">
                  <c:v>6.6666666666666249E-2</c:v>
                </c:pt>
                <c:pt idx="101">
                  <c:v>6.6666666666666249E-2</c:v>
                </c:pt>
                <c:pt idx="102">
                  <c:v>6.6666666666666249E-2</c:v>
                </c:pt>
                <c:pt idx="103">
                  <c:v>6.6666666666666249E-2</c:v>
                </c:pt>
                <c:pt idx="104">
                  <c:v>6.6666666666666249E-2</c:v>
                </c:pt>
                <c:pt idx="105">
                  <c:v>6.6666666666666249E-2</c:v>
                </c:pt>
                <c:pt idx="106">
                  <c:v>6.6666666666666249E-2</c:v>
                </c:pt>
                <c:pt idx="107">
                  <c:v>6.6666666666666249E-2</c:v>
                </c:pt>
                <c:pt idx="108">
                  <c:v>6.6666666666666249E-2</c:v>
                </c:pt>
                <c:pt idx="109">
                  <c:v>6.6666666666666249E-2</c:v>
                </c:pt>
                <c:pt idx="110">
                  <c:v>6.6666666666666249E-2</c:v>
                </c:pt>
                <c:pt idx="111">
                  <c:v>6.6666666666666249E-2</c:v>
                </c:pt>
                <c:pt idx="112">
                  <c:v>6.6666666666666249E-2</c:v>
                </c:pt>
                <c:pt idx="113">
                  <c:v>6.6666666666666249E-2</c:v>
                </c:pt>
                <c:pt idx="114">
                  <c:v>6.6666666666666249E-2</c:v>
                </c:pt>
                <c:pt idx="115">
                  <c:v>6.6666666666666249E-2</c:v>
                </c:pt>
                <c:pt idx="116">
                  <c:v>6.6666666666666249E-2</c:v>
                </c:pt>
                <c:pt idx="117">
                  <c:v>6.6666666666666249E-2</c:v>
                </c:pt>
                <c:pt idx="118">
                  <c:v>6.6666666666666249E-2</c:v>
                </c:pt>
                <c:pt idx="119">
                  <c:v>6.6666666666666249E-2</c:v>
                </c:pt>
                <c:pt idx="120">
                  <c:v>6.6666666666666249E-2</c:v>
                </c:pt>
                <c:pt idx="121">
                  <c:v>6.6666666666666249E-2</c:v>
                </c:pt>
                <c:pt idx="122">
                  <c:v>6.6666666666666249E-2</c:v>
                </c:pt>
                <c:pt idx="123">
                  <c:v>6.6666666666666249E-2</c:v>
                </c:pt>
                <c:pt idx="124">
                  <c:v>6.6666666666666249E-2</c:v>
                </c:pt>
                <c:pt idx="125">
                  <c:v>6.6666666666666249E-2</c:v>
                </c:pt>
                <c:pt idx="126">
                  <c:v>6.6666666666666249E-2</c:v>
                </c:pt>
                <c:pt idx="127">
                  <c:v>6.6666666666666249E-2</c:v>
                </c:pt>
                <c:pt idx="128">
                  <c:v>6.6666666666666249E-2</c:v>
                </c:pt>
                <c:pt idx="129">
                  <c:v>6.6666666666666249E-2</c:v>
                </c:pt>
                <c:pt idx="130">
                  <c:v>6.6666666666666249E-2</c:v>
                </c:pt>
                <c:pt idx="131">
                  <c:v>6.6666666666666249E-2</c:v>
                </c:pt>
                <c:pt idx="132">
                  <c:v>6.6666666666666249E-2</c:v>
                </c:pt>
                <c:pt idx="133">
                  <c:v>6.6666666666666249E-2</c:v>
                </c:pt>
                <c:pt idx="134">
                  <c:v>6.6666666666666249E-2</c:v>
                </c:pt>
                <c:pt idx="135">
                  <c:v>6.6666666666666249E-2</c:v>
                </c:pt>
                <c:pt idx="136">
                  <c:v>6.6666666666666249E-2</c:v>
                </c:pt>
                <c:pt idx="137">
                  <c:v>6.6666666666666249E-2</c:v>
                </c:pt>
                <c:pt idx="138">
                  <c:v>6.6666666666666249E-2</c:v>
                </c:pt>
                <c:pt idx="139">
                  <c:v>6.6666666666666249E-2</c:v>
                </c:pt>
                <c:pt idx="140">
                  <c:v>6.6666666666666249E-2</c:v>
                </c:pt>
                <c:pt idx="141">
                  <c:v>6.6666666666666249E-2</c:v>
                </c:pt>
                <c:pt idx="142">
                  <c:v>6.6666666666666249E-2</c:v>
                </c:pt>
                <c:pt idx="143">
                  <c:v>6.6666666666666249E-2</c:v>
                </c:pt>
                <c:pt idx="144">
                  <c:v>6.6666666666666249E-2</c:v>
                </c:pt>
                <c:pt idx="145">
                  <c:v>6.6666666666666249E-2</c:v>
                </c:pt>
                <c:pt idx="146">
                  <c:v>6.6666666666666249E-2</c:v>
                </c:pt>
                <c:pt idx="147">
                  <c:v>6.6666666666666249E-2</c:v>
                </c:pt>
                <c:pt idx="148">
                  <c:v>6.6666666666666249E-2</c:v>
                </c:pt>
                <c:pt idx="149">
                  <c:v>6.6666666666666249E-2</c:v>
                </c:pt>
                <c:pt idx="150">
                  <c:v>6.6666666666666249E-2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4F-4906-9997-71B4E42EA749}"/>
            </c:ext>
          </c:extLst>
        </c:ser>
        <c:ser>
          <c:idx val="2"/>
          <c:order val="1"/>
          <c:tx>
            <c:strRef>
              <c:f>'Carta 0'!$AU$6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0'!$AI$7:$AI$157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0'!$AU$7:$AU$157</c:f>
              <c:numCache>
                <c:formatCode>General</c:formatCode>
                <c:ptCount val="151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  <c:pt idx="15" formatCode="0.00">
                  <c:v>0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  <c:pt idx="127" formatCode="0.00">
                  <c:v>0</c:v>
                </c:pt>
                <c:pt idx="128" formatCode="0.00">
                  <c:v>0</c:v>
                </c:pt>
                <c:pt idx="129" formatCode="0.00">
                  <c:v>0</c:v>
                </c:pt>
                <c:pt idx="130" formatCode="0.00">
                  <c:v>0</c:v>
                </c:pt>
                <c:pt idx="131" formatCode="0.00">
                  <c:v>0</c:v>
                </c:pt>
                <c:pt idx="132" formatCode="0.00">
                  <c:v>0</c:v>
                </c:pt>
                <c:pt idx="133" formatCode="0.00">
                  <c:v>0</c:v>
                </c:pt>
                <c:pt idx="134" formatCode="0.00">
                  <c:v>0</c:v>
                </c:pt>
                <c:pt idx="135" formatCode="0.00">
                  <c:v>0</c:v>
                </c:pt>
                <c:pt idx="136" formatCode="0.00">
                  <c:v>0</c:v>
                </c:pt>
                <c:pt idx="137" formatCode="0.00">
                  <c:v>0</c:v>
                </c:pt>
                <c:pt idx="138" formatCode="0.00">
                  <c:v>0</c:v>
                </c:pt>
                <c:pt idx="139" formatCode="0.00">
                  <c:v>0</c:v>
                </c:pt>
                <c:pt idx="140" formatCode="0.00">
                  <c:v>0</c:v>
                </c:pt>
                <c:pt idx="141" formatCode="0.00">
                  <c:v>0</c:v>
                </c:pt>
                <c:pt idx="142" formatCode="0.00">
                  <c:v>0</c:v>
                </c:pt>
                <c:pt idx="143" formatCode="0.00">
                  <c:v>0</c:v>
                </c:pt>
                <c:pt idx="144" formatCode="0.00">
                  <c:v>0</c:v>
                </c:pt>
                <c:pt idx="145" formatCode="0.00">
                  <c:v>0</c:v>
                </c:pt>
                <c:pt idx="146" formatCode="0.00">
                  <c:v>0</c:v>
                </c:pt>
                <c:pt idx="147" formatCode="0.00">
                  <c:v>0</c:v>
                </c:pt>
                <c:pt idx="148" formatCode="0.00">
                  <c:v>0</c:v>
                </c:pt>
                <c:pt idx="149" formatCode="0.00">
                  <c:v>0</c:v>
                </c:pt>
                <c:pt idx="15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4F-4906-9997-71B4E42EA749}"/>
            </c:ext>
          </c:extLst>
        </c:ser>
        <c:ser>
          <c:idx val="3"/>
          <c:order val="2"/>
          <c:tx>
            <c:strRef>
              <c:f>'Carta 0'!$AV$6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0'!$AI$7:$AI$157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0'!$AV$7:$AV$157</c:f>
              <c:numCache>
                <c:formatCode>0.00</c:formatCode>
                <c:ptCount val="151"/>
                <c:pt idx="0">
                  <c:v>0.21790666666666531</c:v>
                </c:pt>
                <c:pt idx="1">
                  <c:v>0.21790666666666531</c:v>
                </c:pt>
                <c:pt idx="2">
                  <c:v>0.21790666666666531</c:v>
                </c:pt>
                <c:pt idx="3">
                  <c:v>0.21790666666666531</c:v>
                </c:pt>
                <c:pt idx="4">
                  <c:v>0.21790666666666531</c:v>
                </c:pt>
                <c:pt idx="5">
                  <c:v>0.21790666666666531</c:v>
                </c:pt>
                <c:pt idx="6">
                  <c:v>0.21790666666666531</c:v>
                </c:pt>
                <c:pt idx="7">
                  <c:v>0.21790666666666531</c:v>
                </c:pt>
                <c:pt idx="8">
                  <c:v>0.21790666666666531</c:v>
                </c:pt>
                <c:pt idx="9">
                  <c:v>0.21790666666666531</c:v>
                </c:pt>
                <c:pt idx="10">
                  <c:v>0.21790666666666531</c:v>
                </c:pt>
                <c:pt idx="11">
                  <c:v>0.21790666666666531</c:v>
                </c:pt>
                <c:pt idx="12">
                  <c:v>0.21790666666666531</c:v>
                </c:pt>
                <c:pt idx="13">
                  <c:v>0.21790666666666531</c:v>
                </c:pt>
                <c:pt idx="14">
                  <c:v>0.21790666666666531</c:v>
                </c:pt>
                <c:pt idx="15">
                  <c:v>0.21790666666666531</c:v>
                </c:pt>
                <c:pt idx="16">
                  <c:v>0.21790666666666531</c:v>
                </c:pt>
                <c:pt idx="17">
                  <c:v>0.21790666666666531</c:v>
                </c:pt>
                <c:pt idx="18">
                  <c:v>0.21790666666666531</c:v>
                </c:pt>
                <c:pt idx="19">
                  <c:v>0.21790666666666531</c:v>
                </c:pt>
                <c:pt idx="20">
                  <c:v>0.21790666666666531</c:v>
                </c:pt>
                <c:pt idx="21">
                  <c:v>0.21790666666666531</c:v>
                </c:pt>
                <c:pt idx="22">
                  <c:v>0.21790666666666531</c:v>
                </c:pt>
                <c:pt idx="23">
                  <c:v>0.21790666666666531</c:v>
                </c:pt>
                <c:pt idx="24">
                  <c:v>0.21790666666666531</c:v>
                </c:pt>
                <c:pt idx="25">
                  <c:v>0.21790666666666531</c:v>
                </c:pt>
                <c:pt idx="26">
                  <c:v>0.21790666666666531</c:v>
                </c:pt>
                <c:pt idx="27">
                  <c:v>0.21790666666666531</c:v>
                </c:pt>
                <c:pt idx="28">
                  <c:v>0.21790666666666531</c:v>
                </c:pt>
                <c:pt idx="29">
                  <c:v>0.21790666666666531</c:v>
                </c:pt>
                <c:pt idx="30">
                  <c:v>0.21790666666666531</c:v>
                </c:pt>
                <c:pt idx="31">
                  <c:v>0.21790666666666531</c:v>
                </c:pt>
                <c:pt idx="32">
                  <c:v>0.21790666666666531</c:v>
                </c:pt>
                <c:pt idx="33">
                  <c:v>0.21790666666666531</c:v>
                </c:pt>
                <c:pt idx="34">
                  <c:v>0.21790666666666531</c:v>
                </c:pt>
                <c:pt idx="35">
                  <c:v>0.21790666666666531</c:v>
                </c:pt>
                <c:pt idx="36">
                  <c:v>0.21790666666666531</c:v>
                </c:pt>
                <c:pt idx="37">
                  <c:v>0.21790666666666531</c:v>
                </c:pt>
                <c:pt idx="38">
                  <c:v>0.21790666666666531</c:v>
                </c:pt>
                <c:pt idx="39">
                  <c:v>0.21790666666666531</c:v>
                </c:pt>
                <c:pt idx="40">
                  <c:v>0.21790666666666531</c:v>
                </c:pt>
                <c:pt idx="41">
                  <c:v>0.21790666666666531</c:v>
                </c:pt>
                <c:pt idx="42">
                  <c:v>0.21790666666666531</c:v>
                </c:pt>
                <c:pt idx="43">
                  <c:v>0.21790666666666531</c:v>
                </c:pt>
                <c:pt idx="44">
                  <c:v>0.21790666666666531</c:v>
                </c:pt>
                <c:pt idx="45">
                  <c:v>0.21790666666666531</c:v>
                </c:pt>
                <c:pt idx="46">
                  <c:v>0.21790666666666531</c:v>
                </c:pt>
                <c:pt idx="47">
                  <c:v>0.21790666666666531</c:v>
                </c:pt>
                <c:pt idx="48">
                  <c:v>0.21790666666666531</c:v>
                </c:pt>
                <c:pt idx="49">
                  <c:v>0.21790666666666531</c:v>
                </c:pt>
                <c:pt idx="50">
                  <c:v>0.21790666666666531</c:v>
                </c:pt>
                <c:pt idx="51">
                  <c:v>0.21790666666666531</c:v>
                </c:pt>
                <c:pt idx="52">
                  <c:v>0.21790666666666531</c:v>
                </c:pt>
                <c:pt idx="53">
                  <c:v>0.21790666666666531</c:v>
                </c:pt>
                <c:pt idx="54">
                  <c:v>0.21790666666666531</c:v>
                </c:pt>
                <c:pt idx="55">
                  <c:v>0.21790666666666531</c:v>
                </c:pt>
                <c:pt idx="56">
                  <c:v>0.21790666666666531</c:v>
                </c:pt>
                <c:pt idx="57">
                  <c:v>0.21790666666666531</c:v>
                </c:pt>
                <c:pt idx="58">
                  <c:v>0.21790666666666531</c:v>
                </c:pt>
                <c:pt idx="59">
                  <c:v>0.21790666666666531</c:v>
                </c:pt>
                <c:pt idx="60">
                  <c:v>0.21790666666666531</c:v>
                </c:pt>
                <c:pt idx="61">
                  <c:v>0.21790666666666531</c:v>
                </c:pt>
                <c:pt idx="62">
                  <c:v>0.21790666666666531</c:v>
                </c:pt>
                <c:pt idx="63">
                  <c:v>0.21790666666666531</c:v>
                </c:pt>
                <c:pt idx="64">
                  <c:v>0.21790666666666531</c:v>
                </c:pt>
                <c:pt idx="65">
                  <c:v>0.21790666666666531</c:v>
                </c:pt>
                <c:pt idx="66">
                  <c:v>0.21790666666666531</c:v>
                </c:pt>
                <c:pt idx="67">
                  <c:v>0.21790666666666531</c:v>
                </c:pt>
                <c:pt idx="68">
                  <c:v>0.21790666666666531</c:v>
                </c:pt>
                <c:pt idx="69">
                  <c:v>0.21790666666666531</c:v>
                </c:pt>
                <c:pt idx="70">
                  <c:v>0.21790666666666531</c:v>
                </c:pt>
                <c:pt idx="71">
                  <c:v>0.21790666666666531</c:v>
                </c:pt>
                <c:pt idx="72">
                  <c:v>0.21790666666666531</c:v>
                </c:pt>
                <c:pt idx="73">
                  <c:v>0.21790666666666531</c:v>
                </c:pt>
                <c:pt idx="74">
                  <c:v>0.21790666666666531</c:v>
                </c:pt>
                <c:pt idx="75">
                  <c:v>0.21790666666666531</c:v>
                </c:pt>
                <c:pt idx="76">
                  <c:v>0.21790666666666531</c:v>
                </c:pt>
                <c:pt idx="77">
                  <c:v>0.21790666666666531</c:v>
                </c:pt>
                <c:pt idx="78">
                  <c:v>0.21790666666666531</c:v>
                </c:pt>
                <c:pt idx="79">
                  <c:v>0.21790666666666531</c:v>
                </c:pt>
                <c:pt idx="80">
                  <c:v>0.21790666666666531</c:v>
                </c:pt>
                <c:pt idx="81">
                  <c:v>0.21790666666666531</c:v>
                </c:pt>
                <c:pt idx="82">
                  <c:v>0.21790666666666531</c:v>
                </c:pt>
                <c:pt idx="83">
                  <c:v>0.21790666666666531</c:v>
                </c:pt>
                <c:pt idx="84">
                  <c:v>0.21790666666666531</c:v>
                </c:pt>
                <c:pt idx="85">
                  <c:v>0.21790666666666531</c:v>
                </c:pt>
                <c:pt idx="86">
                  <c:v>0.21790666666666531</c:v>
                </c:pt>
                <c:pt idx="87">
                  <c:v>0.21790666666666531</c:v>
                </c:pt>
                <c:pt idx="88">
                  <c:v>0.21790666666666531</c:v>
                </c:pt>
                <c:pt idx="89">
                  <c:v>0.21790666666666531</c:v>
                </c:pt>
                <c:pt idx="90">
                  <c:v>0.21790666666666531</c:v>
                </c:pt>
                <c:pt idx="91">
                  <c:v>0.21790666666666531</c:v>
                </c:pt>
                <c:pt idx="92">
                  <c:v>0.21790666666666531</c:v>
                </c:pt>
                <c:pt idx="93">
                  <c:v>0.21790666666666531</c:v>
                </c:pt>
                <c:pt idx="94">
                  <c:v>0.21790666666666531</c:v>
                </c:pt>
                <c:pt idx="95">
                  <c:v>0.21790666666666531</c:v>
                </c:pt>
                <c:pt idx="96">
                  <c:v>0.21790666666666531</c:v>
                </c:pt>
                <c:pt idx="97">
                  <c:v>0.21790666666666531</c:v>
                </c:pt>
                <c:pt idx="98">
                  <c:v>0.21790666666666531</c:v>
                </c:pt>
                <c:pt idx="99">
                  <c:v>0.21790666666666531</c:v>
                </c:pt>
                <c:pt idx="100">
                  <c:v>0.21790666666666531</c:v>
                </c:pt>
                <c:pt idx="101">
                  <c:v>0.21790666666666531</c:v>
                </c:pt>
                <c:pt idx="102">
                  <c:v>0.21790666666666531</c:v>
                </c:pt>
                <c:pt idx="103">
                  <c:v>0.21790666666666531</c:v>
                </c:pt>
                <c:pt idx="104">
                  <c:v>0.21790666666666531</c:v>
                </c:pt>
                <c:pt idx="105">
                  <c:v>0.21790666666666531</c:v>
                </c:pt>
                <c:pt idx="106">
                  <c:v>0.21790666666666531</c:v>
                </c:pt>
                <c:pt idx="107">
                  <c:v>0.21790666666666531</c:v>
                </c:pt>
                <c:pt idx="108">
                  <c:v>0.21790666666666531</c:v>
                </c:pt>
                <c:pt idx="109">
                  <c:v>0.21790666666666531</c:v>
                </c:pt>
                <c:pt idx="110">
                  <c:v>0.21790666666666531</c:v>
                </c:pt>
                <c:pt idx="111">
                  <c:v>0.21790666666666531</c:v>
                </c:pt>
                <c:pt idx="112">
                  <c:v>0.21790666666666531</c:v>
                </c:pt>
                <c:pt idx="113">
                  <c:v>0.21790666666666531</c:v>
                </c:pt>
                <c:pt idx="114">
                  <c:v>0.21790666666666531</c:v>
                </c:pt>
                <c:pt idx="115">
                  <c:v>0.21790666666666531</c:v>
                </c:pt>
                <c:pt idx="116">
                  <c:v>0.21790666666666531</c:v>
                </c:pt>
                <c:pt idx="117">
                  <c:v>0.21790666666666531</c:v>
                </c:pt>
                <c:pt idx="118">
                  <c:v>0.21790666666666531</c:v>
                </c:pt>
                <c:pt idx="119">
                  <c:v>0.21790666666666531</c:v>
                </c:pt>
                <c:pt idx="120">
                  <c:v>0.21790666666666531</c:v>
                </c:pt>
                <c:pt idx="121">
                  <c:v>0.21790666666666531</c:v>
                </c:pt>
                <c:pt idx="122">
                  <c:v>0.21790666666666531</c:v>
                </c:pt>
                <c:pt idx="123">
                  <c:v>0.21790666666666531</c:v>
                </c:pt>
                <c:pt idx="124">
                  <c:v>0.21790666666666531</c:v>
                </c:pt>
                <c:pt idx="125">
                  <c:v>0.21790666666666531</c:v>
                </c:pt>
                <c:pt idx="126">
                  <c:v>0.21790666666666531</c:v>
                </c:pt>
                <c:pt idx="127">
                  <c:v>0.21790666666666531</c:v>
                </c:pt>
                <c:pt idx="128">
                  <c:v>0.21790666666666531</c:v>
                </c:pt>
                <c:pt idx="129">
                  <c:v>0.21790666666666531</c:v>
                </c:pt>
                <c:pt idx="130">
                  <c:v>0.21790666666666531</c:v>
                </c:pt>
                <c:pt idx="131">
                  <c:v>0.21790666666666531</c:v>
                </c:pt>
                <c:pt idx="132">
                  <c:v>0.21790666666666531</c:v>
                </c:pt>
                <c:pt idx="133">
                  <c:v>0.21790666666666531</c:v>
                </c:pt>
                <c:pt idx="134">
                  <c:v>0.21790666666666531</c:v>
                </c:pt>
                <c:pt idx="135">
                  <c:v>0.21790666666666531</c:v>
                </c:pt>
                <c:pt idx="136">
                  <c:v>0.21790666666666531</c:v>
                </c:pt>
                <c:pt idx="137">
                  <c:v>0.21790666666666531</c:v>
                </c:pt>
                <c:pt idx="138">
                  <c:v>0.21790666666666531</c:v>
                </c:pt>
                <c:pt idx="139">
                  <c:v>0.21790666666666531</c:v>
                </c:pt>
                <c:pt idx="140">
                  <c:v>0.21790666666666531</c:v>
                </c:pt>
                <c:pt idx="141">
                  <c:v>0.21790666666666531</c:v>
                </c:pt>
                <c:pt idx="142">
                  <c:v>0.21790666666666531</c:v>
                </c:pt>
                <c:pt idx="143">
                  <c:v>0.21790666666666531</c:v>
                </c:pt>
                <c:pt idx="144">
                  <c:v>0.21790666666666531</c:v>
                </c:pt>
                <c:pt idx="145">
                  <c:v>0.21790666666666531</c:v>
                </c:pt>
                <c:pt idx="146">
                  <c:v>0.21790666666666531</c:v>
                </c:pt>
                <c:pt idx="147">
                  <c:v>0.21790666666666531</c:v>
                </c:pt>
                <c:pt idx="148">
                  <c:v>0.21790666666666531</c:v>
                </c:pt>
                <c:pt idx="149">
                  <c:v>0.21790666666666531</c:v>
                </c:pt>
                <c:pt idx="150">
                  <c:v>0.21790666666666531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4F-4906-9997-71B4E42EA749}"/>
            </c:ext>
          </c:extLst>
        </c:ser>
        <c:ser>
          <c:idx val="0"/>
          <c:order val="3"/>
          <c:tx>
            <c:strRef>
              <c:f>'Carta 0'!$AS$6</c:f>
              <c:strCache>
                <c:ptCount val="1"/>
                <c:pt idx="0">
                  <c:v>rango movil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'Carta 0'!$AI$7:$AI$107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'Carta 0'!$AS$7:$AS$107</c:f>
              <c:numCache>
                <c:formatCode>General</c:formatCode>
                <c:ptCount val="101"/>
                <c:pt idx="2">
                  <c:v>7.9999999999998295E-2</c:v>
                </c:pt>
                <c:pt idx="3">
                  <c:v>9.9999999999997868E-2</c:v>
                </c:pt>
                <c:pt idx="4">
                  <c:v>7.0000000000000284E-2</c:v>
                </c:pt>
                <c:pt idx="5">
                  <c:v>8.9999999999999858E-2</c:v>
                </c:pt>
                <c:pt idx="6">
                  <c:v>9.9999999999997868E-2</c:v>
                </c:pt>
                <c:pt idx="7">
                  <c:v>1.0000000000001563E-2</c:v>
                </c:pt>
                <c:pt idx="8">
                  <c:v>0.16000000000000014</c:v>
                </c:pt>
                <c:pt idx="9">
                  <c:v>7.9999999999998295E-2</c:v>
                </c:pt>
                <c:pt idx="10">
                  <c:v>0.23999999999999844</c:v>
                </c:pt>
                <c:pt idx="11">
                  <c:v>1.0000000000001563E-2</c:v>
                </c:pt>
                <c:pt idx="12">
                  <c:v>0.17999999999999972</c:v>
                </c:pt>
                <c:pt idx="13">
                  <c:v>7.0000000000000284E-2</c:v>
                </c:pt>
                <c:pt idx="14">
                  <c:v>5.9999999999998721E-2</c:v>
                </c:pt>
                <c:pt idx="15">
                  <c:v>3.9999999999999147E-2</c:v>
                </c:pt>
                <c:pt idx="16">
                  <c:v>9.9999999999980105E-3</c:v>
                </c:pt>
                <c:pt idx="17">
                  <c:v>1.9999999999999574E-2</c:v>
                </c:pt>
                <c:pt idx="18">
                  <c:v>0.16000000000000014</c:v>
                </c:pt>
                <c:pt idx="19">
                  <c:v>3.9999999999999147E-2</c:v>
                </c:pt>
                <c:pt idx="20">
                  <c:v>3.9999999999999147E-2</c:v>
                </c:pt>
                <c:pt idx="21">
                  <c:v>5.9999999999998721E-2</c:v>
                </c:pt>
                <c:pt idx="22">
                  <c:v>5.9999999999998721E-2</c:v>
                </c:pt>
                <c:pt idx="23">
                  <c:v>1.0000000000001563E-2</c:v>
                </c:pt>
                <c:pt idx="24">
                  <c:v>0.10999999999999943</c:v>
                </c:pt>
                <c:pt idx="25">
                  <c:v>9.9999999999980105E-3</c:v>
                </c:pt>
                <c:pt idx="26">
                  <c:v>5.9999999999998721E-2</c:v>
                </c:pt>
                <c:pt idx="27">
                  <c:v>0.12999999999999901</c:v>
                </c:pt>
                <c:pt idx="28">
                  <c:v>3.9999999999999147E-2</c:v>
                </c:pt>
                <c:pt idx="29">
                  <c:v>0.10999999999999943</c:v>
                </c:pt>
                <c:pt idx="30">
                  <c:v>0.10000000000000142</c:v>
                </c:pt>
                <c:pt idx="31">
                  <c:v>3.0000000000001137E-2</c:v>
                </c:pt>
                <c:pt idx="32">
                  <c:v>5.9999999999998721E-2</c:v>
                </c:pt>
                <c:pt idx="33">
                  <c:v>8.9999999999999858E-2</c:v>
                </c:pt>
                <c:pt idx="34">
                  <c:v>0.16999999999999815</c:v>
                </c:pt>
                <c:pt idx="35">
                  <c:v>2.9999999999997584E-2</c:v>
                </c:pt>
                <c:pt idx="36">
                  <c:v>1.9999999999999574E-2</c:v>
                </c:pt>
                <c:pt idx="37">
                  <c:v>0.21999999999999886</c:v>
                </c:pt>
                <c:pt idx="38">
                  <c:v>0.19999999999999929</c:v>
                </c:pt>
                <c:pt idx="39">
                  <c:v>3.9999999999999147E-2</c:v>
                </c:pt>
                <c:pt idx="40">
                  <c:v>3.0000000000001137E-2</c:v>
                </c:pt>
                <c:pt idx="41">
                  <c:v>8.9999999999999858E-2</c:v>
                </c:pt>
                <c:pt idx="42">
                  <c:v>7.9999999999998295E-2</c:v>
                </c:pt>
                <c:pt idx="43">
                  <c:v>7.0000000000000284E-2</c:v>
                </c:pt>
                <c:pt idx="44">
                  <c:v>5.0000000000000711E-2</c:v>
                </c:pt>
                <c:pt idx="45">
                  <c:v>0.10999999999999943</c:v>
                </c:pt>
                <c:pt idx="46">
                  <c:v>7.9999999999998295E-2</c:v>
                </c:pt>
                <c:pt idx="47">
                  <c:v>9.9999999999980105E-3</c:v>
                </c:pt>
                <c:pt idx="48">
                  <c:v>8.0000000000001847E-2</c:v>
                </c:pt>
                <c:pt idx="49">
                  <c:v>0</c:v>
                </c:pt>
                <c:pt idx="50">
                  <c:v>0</c:v>
                </c:pt>
                <c:pt idx="51">
                  <c:v>3.0000000000001137E-2</c:v>
                </c:pt>
                <c:pt idx="52">
                  <c:v>9.9999999999980105E-3</c:v>
                </c:pt>
                <c:pt idx="53">
                  <c:v>8.9999999999999858E-2</c:v>
                </c:pt>
                <c:pt idx="54">
                  <c:v>5.9999999999998721E-2</c:v>
                </c:pt>
                <c:pt idx="55">
                  <c:v>1.9999999999999574E-2</c:v>
                </c:pt>
                <c:pt idx="56">
                  <c:v>8.9999999999999858E-2</c:v>
                </c:pt>
                <c:pt idx="57">
                  <c:v>7.9999999999998295E-2</c:v>
                </c:pt>
                <c:pt idx="58">
                  <c:v>9.9999999999997868E-2</c:v>
                </c:pt>
                <c:pt idx="59">
                  <c:v>7.9999999999998295E-2</c:v>
                </c:pt>
                <c:pt idx="60">
                  <c:v>1.9999999999999574E-2</c:v>
                </c:pt>
                <c:pt idx="61">
                  <c:v>3.9999999999999147E-2</c:v>
                </c:pt>
                <c:pt idx="62">
                  <c:v>5.9999999999998721E-2</c:v>
                </c:pt>
                <c:pt idx="63">
                  <c:v>3.9999999999999147E-2</c:v>
                </c:pt>
                <c:pt idx="64">
                  <c:v>1.9999999999999574E-2</c:v>
                </c:pt>
                <c:pt idx="65">
                  <c:v>0.12999999999999901</c:v>
                </c:pt>
                <c:pt idx="66">
                  <c:v>0.14999999999999858</c:v>
                </c:pt>
                <c:pt idx="67">
                  <c:v>3.0000000000001137E-2</c:v>
                </c:pt>
                <c:pt idx="68">
                  <c:v>5.9999999999998721E-2</c:v>
                </c:pt>
                <c:pt idx="69">
                  <c:v>7.9999999999998295E-2</c:v>
                </c:pt>
                <c:pt idx="70">
                  <c:v>1.0000000000001563E-2</c:v>
                </c:pt>
                <c:pt idx="71">
                  <c:v>3.0000000000001137E-2</c:v>
                </c:pt>
                <c:pt idx="72">
                  <c:v>3.0000000000001137E-2</c:v>
                </c:pt>
                <c:pt idx="73">
                  <c:v>7.0000000000000284E-2</c:v>
                </c:pt>
                <c:pt idx="74">
                  <c:v>5.0000000000000711E-2</c:v>
                </c:pt>
                <c:pt idx="75">
                  <c:v>9.9999999999980105E-3</c:v>
                </c:pt>
                <c:pt idx="76">
                  <c:v>3.9999999999999147E-2</c:v>
                </c:pt>
                <c:pt idx="77">
                  <c:v>0.19000000000000128</c:v>
                </c:pt>
                <c:pt idx="78">
                  <c:v>0.16000000000000014</c:v>
                </c:pt>
                <c:pt idx="79">
                  <c:v>0.10999999999999943</c:v>
                </c:pt>
                <c:pt idx="80">
                  <c:v>1.9999999999999574E-2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3.0000000000001137E-2</c:v>
                </c:pt>
                <c:pt idx="85">
                  <c:v>0.12000000000000099</c:v>
                </c:pt>
                <c:pt idx="86">
                  <c:v>0.16999999999999815</c:v>
                </c:pt>
                <c:pt idx="87">
                  <c:v>8.9999999999999858E-2</c:v>
                </c:pt>
                <c:pt idx="88">
                  <c:v>9.9999999999980105E-3</c:v>
                </c:pt>
                <c:pt idx="89">
                  <c:v>6.0000000000002274E-2</c:v>
                </c:pt>
                <c:pt idx="90">
                  <c:v>5.0000000000000711E-2</c:v>
                </c:pt>
                <c:pt idx="91">
                  <c:v>7.0000000000000284E-2</c:v>
                </c:pt>
                <c:pt idx="92">
                  <c:v>6.0000000000002274E-2</c:v>
                </c:pt>
                <c:pt idx="93">
                  <c:v>2.9999999999997584E-2</c:v>
                </c:pt>
                <c:pt idx="94">
                  <c:v>3.9999999999999147E-2</c:v>
                </c:pt>
                <c:pt idx="95">
                  <c:v>3.0000000000001137E-2</c:v>
                </c:pt>
                <c:pt idx="96">
                  <c:v>7.0000000000000284E-2</c:v>
                </c:pt>
                <c:pt idx="97">
                  <c:v>7.0000000000000284E-2</c:v>
                </c:pt>
                <c:pt idx="98">
                  <c:v>5.9999999999998721E-2</c:v>
                </c:pt>
                <c:pt idx="99">
                  <c:v>1.0000000000001563E-2</c:v>
                </c:pt>
                <c:pt idx="100">
                  <c:v>9.9999999999980105E-3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4F-4906-9997-71B4E42EA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432815"/>
        <c:axId val="1229439055"/>
      </c:scatterChart>
      <c:valAx>
        <c:axId val="1229432815"/>
        <c:scaling>
          <c:orientation val="minMax"/>
          <c:max val="15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9055"/>
        <c:crosses val="autoZero"/>
        <c:crossBetween val="midCat"/>
        <c:majorUnit val="5"/>
      </c:valAx>
      <c:valAx>
        <c:axId val="122943905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Rangos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2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 4 -Carta de Medias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5.2287235151002052E-2"/>
          <c:y val="0.12452277236935953"/>
          <c:w val="0.92735482265593583"/>
          <c:h val="0.72106299431159993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'Carta 0'!$BB$6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0'!$BB$7:$BB$157</c:f>
              <c:numCache>
                <c:formatCode>0.000</c:formatCode>
                <c:ptCount val="151"/>
                <c:pt idx="0">
                  <c:v>25.750800000000005</c:v>
                </c:pt>
                <c:pt idx="1">
                  <c:v>25.750800000000005</c:v>
                </c:pt>
                <c:pt idx="2">
                  <c:v>25.750800000000005</c:v>
                </c:pt>
                <c:pt idx="3">
                  <c:v>25.750800000000005</c:v>
                </c:pt>
                <c:pt idx="4">
                  <c:v>25.750800000000005</c:v>
                </c:pt>
                <c:pt idx="5">
                  <c:v>25.750800000000005</c:v>
                </c:pt>
                <c:pt idx="6">
                  <c:v>25.750800000000005</c:v>
                </c:pt>
                <c:pt idx="7">
                  <c:v>25.750800000000005</c:v>
                </c:pt>
                <c:pt idx="8">
                  <c:v>25.750800000000005</c:v>
                </c:pt>
                <c:pt idx="9">
                  <c:v>25.750800000000005</c:v>
                </c:pt>
                <c:pt idx="10">
                  <c:v>25.750800000000005</c:v>
                </c:pt>
                <c:pt idx="11">
                  <c:v>25.750800000000005</c:v>
                </c:pt>
                <c:pt idx="12">
                  <c:v>25.750800000000005</c:v>
                </c:pt>
                <c:pt idx="13">
                  <c:v>25.750800000000005</c:v>
                </c:pt>
                <c:pt idx="14">
                  <c:v>25.750800000000005</c:v>
                </c:pt>
                <c:pt idx="15">
                  <c:v>25.750800000000005</c:v>
                </c:pt>
                <c:pt idx="16">
                  <c:v>25.750800000000005</c:v>
                </c:pt>
                <c:pt idx="17">
                  <c:v>25.750800000000005</c:v>
                </c:pt>
                <c:pt idx="18">
                  <c:v>25.750800000000005</c:v>
                </c:pt>
                <c:pt idx="19">
                  <c:v>25.750800000000005</c:v>
                </c:pt>
                <c:pt idx="20">
                  <c:v>25.750800000000005</c:v>
                </c:pt>
                <c:pt idx="21">
                  <c:v>25.750800000000005</c:v>
                </c:pt>
                <c:pt idx="22">
                  <c:v>25.750800000000005</c:v>
                </c:pt>
                <c:pt idx="23">
                  <c:v>25.750800000000005</c:v>
                </c:pt>
                <c:pt idx="24">
                  <c:v>25.750800000000005</c:v>
                </c:pt>
                <c:pt idx="25">
                  <c:v>25.750800000000005</c:v>
                </c:pt>
                <c:pt idx="26">
                  <c:v>25.750800000000005</c:v>
                </c:pt>
                <c:pt idx="27">
                  <c:v>25.750800000000005</c:v>
                </c:pt>
                <c:pt idx="28">
                  <c:v>25.750800000000005</c:v>
                </c:pt>
                <c:pt idx="29">
                  <c:v>25.750800000000005</c:v>
                </c:pt>
                <c:pt idx="30">
                  <c:v>25.750800000000005</c:v>
                </c:pt>
                <c:pt idx="31">
                  <c:v>25.750800000000005</c:v>
                </c:pt>
                <c:pt idx="32">
                  <c:v>25.750800000000005</c:v>
                </c:pt>
                <c:pt idx="33">
                  <c:v>25.750800000000005</c:v>
                </c:pt>
                <c:pt idx="34">
                  <c:v>25.750800000000005</c:v>
                </c:pt>
                <c:pt idx="35">
                  <c:v>25.750800000000005</c:v>
                </c:pt>
                <c:pt idx="36">
                  <c:v>25.750800000000005</c:v>
                </c:pt>
                <c:pt idx="37">
                  <c:v>25.750800000000005</c:v>
                </c:pt>
                <c:pt idx="38">
                  <c:v>25.750800000000005</c:v>
                </c:pt>
                <c:pt idx="39">
                  <c:v>25.750800000000005</c:v>
                </c:pt>
                <c:pt idx="40">
                  <c:v>25.750800000000005</c:v>
                </c:pt>
                <c:pt idx="41">
                  <c:v>25.750800000000005</c:v>
                </c:pt>
                <c:pt idx="42">
                  <c:v>25.750800000000005</c:v>
                </c:pt>
                <c:pt idx="43">
                  <c:v>25.750800000000005</c:v>
                </c:pt>
                <c:pt idx="44">
                  <c:v>25.750800000000005</c:v>
                </c:pt>
                <c:pt idx="45">
                  <c:v>25.750800000000005</c:v>
                </c:pt>
                <c:pt idx="46">
                  <c:v>25.750800000000005</c:v>
                </c:pt>
                <c:pt idx="47">
                  <c:v>25.750800000000005</c:v>
                </c:pt>
                <c:pt idx="48">
                  <c:v>25.750800000000005</c:v>
                </c:pt>
                <c:pt idx="49">
                  <c:v>25.750800000000005</c:v>
                </c:pt>
                <c:pt idx="50">
                  <c:v>25.750800000000005</c:v>
                </c:pt>
                <c:pt idx="51">
                  <c:v>25.750800000000005</c:v>
                </c:pt>
                <c:pt idx="52">
                  <c:v>25.750800000000005</c:v>
                </c:pt>
                <c:pt idx="53">
                  <c:v>25.750800000000005</c:v>
                </c:pt>
                <c:pt idx="54">
                  <c:v>25.750800000000005</c:v>
                </c:pt>
                <c:pt idx="55">
                  <c:v>25.750800000000005</c:v>
                </c:pt>
                <c:pt idx="56">
                  <c:v>25.750800000000005</c:v>
                </c:pt>
                <c:pt idx="57">
                  <c:v>25.750800000000005</c:v>
                </c:pt>
                <c:pt idx="58">
                  <c:v>25.750800000000005</c:v>
                </c:pt>
                <c:pt idx="59">
                  <c:v>25.750800000000005</c:v>
                </c:pt>
                <c:pt idx="60">
                  <c:v>25.750800000000005</c:v>
                </c:pt>
                <c:pt idx="61">
                  <c:v>25.750800000000005</c:v>
                </c:pt>
                <c:pt idx="62">
                  <c:v>25.750800000000005</c:v>
                </c:pt>
                <c:pt idx="63">
                  <c:v>25.750800000000005</c:v>
                </c:pt>
                <c:pt idx="64">
                  <c:v>25.750800000000005</c:v>
                </c:pt>
                <c:pt idx="65">
                  <c:v>25.750800000000005</c:v>
                </c:pt>
                <c:pt idx="66">
                  <c:v>25.750800000000005</c:v>
                </c:pt>
                <c:pt idx="67">
                  <c:v>25.750800000000005</c:v>
                </c:pt>
                <c:pt idx="68">
                  <c:v>25.750800000000005</c:v>
                </c:pt>
                <c:pt idx="69">
                  <c:v>25.750800000000005</c:v>
                </c:pt>
                <c:pt idx="70">
                  <c:v>25.750800000000005</c:v>
                </c:pt>
                <c:pt idx="71">
                  <c:v>25.750800000000005</c:v>
                </c:pt>
                <c:pt idx="72">
                  <c:v>25.750800000000005</c:v>
                </c:pt>
                <c:pt idx="73">
                  <c:v>25.750800000000005</c:v>
                </c:pt>
                <c:pt idx="74">
                  <c:v>25.750800000000005</c:v>
                </c:pt>
                <c:pt idx="75">
                  <c:v>25.750800000000005</c:v>
                </c:pt>
                <c:pt idx="76">
                  <c:v>25.750800000000005</c:v>
                </c:pt>
                <c:pt idx="77">
                  <c:v>25.750800000000005</c:v>
                </c:pt>
                <c:pt idx="78">
                  <c:v>25.750800000000005</c:v>
                </c:pt>
                <c:pt idx="79">
                  <c:v>25.750800000000005</c:v>
                </c:pt>
                <c:pt idx="80">
                  <c:v>25.750800000000005</c:v>
                </c:pt>
                <c:pt idx="81">
                  <c:v>25.750800000000005</c:v>
                </c:pt>
                <c:pt idx="82">
                  <c:v>25.750800000000005</c:v>
                </c:pt>
                <c:pt idx="83">
                  <c:v>25.750800000000005</c:v>
                </c:pt>
                <c:pt idx="84">
                  <c:v>25.750800000000005</c:v>
                </c:pt>
                <c:pt idx="85">
                  <c:v>25.750800000000005</c:v>
                </c:pt>
                <c:pt idx="86">
                  <c:v>25.750800000000005</c:v>
                </c:pt>
                <c:pt idx="87">
                  <c:v>25.750800000000005</c:v>
                </c:pt>
                <c:pt idx="88">
                  <c:v>25.750800000000005</c:v>
                </c:pt>
                <c:pt idx="89">
                  <c:v>25.750800000000005</c:v>
                </c:pt>
                <c:pt idx="90">
                  <c:v>25.750800000000005</c:v>
                </c:pt>
                <c:pt idx="91">
                  <c:v>25.750800000000005</c:v>
                </c:pt>
                <c:pt idx="92">
                  <c:v>25.750800000000005</c:v>
                </c:pt>
                <c:pt idx="93">
                  <c:v>25.750800000000005</c:v>
                </c:pt>
                <c:pt idx="94">
                  <c:v>25.750800000000005</c:v>
                </c:pt>
                <c:pt idx="95">
                  <c:v>25.750800000000005</c:v>
                </c:pt>
                <c:pt idx="96">
                  <c:v>25.750800000000005</c:v>
                </c:pt>
                <c:pt idx="97">
                  <c:v>25.750800000000005</c:v>
                </c:pt>
                <c:pt idx="98">
                  <c:v>25.750800000000005</c:v>
                </c:pt>
                <c:pt idx="99">
                  <c:v>25.750800000000005</c:v>
                </c:pt>
                <c:pt idx="100">
                  <c:v>25.750800000000005</c:v>
                </c:pt>
                <c:pt idx="101">
                  <c:v>25.750800000000005</c:v>
                </c:pt>
                <c:pt idx="102">
                  <c:v>25.750800000000005</c:v>
                </c:pt>
                <c:pt idx="103">
                  <c:v>25.750800000000005</c:v>
                </c:pt>
                <c:pt idx="104">
                  <c:v>25.750800000000005</c:v>
                </c:pt>
                <c:pt idx="105">
                  <c:v>25.750800000000005</c:v>
                </c:pt>
                <c:pt idx="106">
                  <c:v>25.750800000000005</c:v>
                </c:pt>
                <c:pt idx="107">
                  <c:v>25.750800000000005</c:v>
                </c:pt>
                <c:pt idx="108">
                  <c:v>25.750800000000005</c:v>
                </c:pt>
                <c:pt idx="109">
                  <c:v>25.750800000000005</c:v>
                </c:pt>
                <c:pt idx="110">
                  <c:v>25.750800000000005</c:v>
                </c:pt>
                <c:pt idx="111">
                  <c:v>25.750800000000005</c:v>
                </c:pt>
                <c:pt idx="112">
                  <c:v>25.750800000000005</c:v>
                </c:pt>
                <c:pt idx="113">
                  <c:v>25.750800000000005</c:v>
                </c:pt>
                <c:pt idx="114">
                  <c:v>25.750800000000005</c:v>
                </c:pt>
                <c:pt idx="115">
                  <c:v>25.750800000000005</c:v>
                </c:pt>
                <c:pt idx="116">
                  <c:v>25.750800000000005</c:v>
                </c:pt>
                <c:pt idx="117">
                  <c:v>25.750800000000005</c:v>
                </c:pt>
                <c:pt idx="118">
                  <c:v>25.750800000000005</c:v>
                </c:pt>
                <c:pt idx="119">
                  <c:v>25.750800000000005</c:v>
                </c:pt>
                <c:pt idx="120">
                  <c:v>25.750800000000005</c:v>
                </c:pt>
                <c:pt idx="121">
                  <c:v>25.750800000000005</c:v>
                </c:pt>
                <c:pt idx="122">
                  <c:v>25.750800000000005</c:v>
                </c:pt>
                <c:pt idx="123">
                  <c:v>25.750800000000005</c:v>
                </c:pt>
                <c:pt idx="124">
                  <c:v>25.750800000000005</c:v>
                </c:pt>
                <c:pt idx="125">
                  <c:v>25.750800000000005</c:v>
                </c:pt>
                <c:pt idx="126">
                  <c:v>25.750800000000005</c:v>
                </c:pt>
                <c:pt idx="127">
                  <c:v>25.750800000000005</c:v>
                </c:pt>
                <c:pt idx="128">
                  <c:v>25.750800000000005</c:v>
                </c:pt>
                <c:pt idx="129">
                  <c:v>25.750800000000005</c:v>
                </c:pt>
                <c:pt idx="130">
                  <c:v>25.750800000000005</c:v>
                </c:pt>
                <c:pt idx="131">
                  <c:v>25.750800000000005</c:v>
                </c:pt>
                <c:pt idx="132">
                  <c:v>25.750800000000005</c:v>
                </c:pt>
                <c:pt idx="133">
                  <c:v>25.750800000000005</c:v>
                </c:pt>
                <c:pt idx="134">
                  <c:v>25.750800000000005</c:v>
                </c:pt>
                <c:pt idx="135">
                  <c:v>25.750800000000005</c:v>
                </c:pt>
                <c:pt idx="136">
                  <c:v>25.750800000000005</c:v>
                </c:pt>
                <c:pt idx="137">
                  <c:v>25.750800000000005</c:v>
                </c:pt>
                <c:pt idx="138">
                  <c:v>25.750800000000005</c:v>
                </c:pt>
                <c:pt idx="139">
                  <c:v>25.750800000000005</c:v>
                </c:pt>
                <c:pt idx="140">
                  <c:v>25.750800000000005</c:v>
                </c:pt>
                <c:pt idx="141">
                  <c:v>25.750800000000005</c:v>
                </c:pt>
                <c:pt idx="142">
                  <c:v>25.750800000000005</c:v>
                </c:pt>
                <c:pt idx="143">
                  <c:v>25.750800000000005</c:v>
                </c:pt>
                <c:pt idx="144">
                  <c:v>25.750800000000005</c:v>
                </c:pt>
                <c:pt idx="145">
                  <c:v>25.750800000000005</c:v>
                </c:pt>
                <c:pt idx="146">
                  <c:v>25.750800000000005</c:v>
                </c:pt>
                <c:pt idx="147">
                  <c:v>25.750800000000005</c:v>
                </c:pt>
                <c:pt idx="148">
                  <c:v>25.750800000000005</c:v>
                </c:pt>
                <c:pt idx="149">
                  <c:v>25.750800000000005</c:v>
                </c:pt>
                <c:pt idx="150">
                  <c:v>25.750800000000005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03-41A2-AA76-A193B345F407}"/>
            </c:ext>
          </c:extLst>
        </c:ser>
        <c:ser>
          <c:idx val="2"/>
          <c:order val="1"/>
          <c:tx>
            <c:strRef>
              <c:f>'Carta 0'!$BD$6</c:f>
              <c:strCache>
                <c:ptCount val="1"/>
                <c:pt idx="0">
                  <c:v>L.A.S.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0'!$BD$7:$BD$157</c:f>
              <c:numCache>
                <c:formatCode>0.000</c:formatCode>
                <c:ptCount val="151"/>
                <c:pt idx="0">
                  <c:v>25.922618085618062</c:v>
                </c:pt>
                <c:pt idx="1">
                  <c:v>25.922618085618062</c:v>
                </c:pt>
                <c:pt idx="2">
                  <c:v>25.922618085618062</c:v>
                </c:pt>
                <c:pt idx="3">
                  <c:v>25.922618085618062</c:v>
                </c:pt>
                <c:pt idx="4">
                  <c:v>25.922618085618062</c:v>
                </c:pt>
                <c:pt idx="5">
                  <c:v>25.922618085618062</c:v>
                </c:pt>
                <c:pt idx="6">
                  <c:v>25.922618085618062</c:v>
                </c:pt>
                <c:pt idx="7">
                  <c:v>25.922618085618062</c:v>
                </c:pt>
                <c:pt idx="8">
                  <c:v>25.922618085618062</c:v>
                </c:pt>
                <c:pt idx="9">
                  <c:v>25.922618085618062</c:v>
                </c:pt>
                <c:pt idx="10">
                  <c:v>25.922618085618062</c:v>
                </c:pt>
                <c:pt idx="11">
                  <c:v>25.922618085618062</c:v>
                </c:pt>
                <c:pt idx="12">
                  <c:v>25.922618085618062</c:v>
                </c:pt>
                <c:pt idx="13">
                  <c:v>25.922618085618062</c:v>
                </c:pt>
                <c:pt idx="14">
                  <c:v>25.922618085618062</c:v>
                </c:pt>
                <c:pt idx="15">
                  <c:v>25.922618085618062</c:v>
                </c:pt>
                <c:pt idx="16">
                  <c:v>25.922618085618062</c:v>
                </c:pt>
                <c:pt idx="17">
                  <c:v>25.922618085618062</c:v>
                </c:pt>
                <c:pt idx="18">
                  <c:v>25.922618085618062</c:v>
                </c:pt>
                <c:pt idx="19">
                  <c:v>25.922618085618062</c:v>
                </c:pt>
                <c:pt idx="20">
                  <c:v>25.922618085618062</c:v>
                </c:pt>
                <c:pt idx="21">
                  <c:v>25.922618085618062</c:v>
                </c:pt>
                <c:pt idx="22">
                  <c:v>25.922618085618062</c:v>
                </c:pt>
                <c:pt idx="23">
                  <c:v>25.922618085618062</c:v>
                </c:pt>
                <c:pt idx="24">
                  <c:v>25.922618085618062</c:v>
                </c:pt>
                <c:pt idx="25">
                  <c:v>25.922618085618062</c:v>
                </c:pt>
                <c:pt idx="26">
                  <c:v>25.922618085618062</c:v>
                </c:pt>
                <c:pt idx="27">
                  <c:v>25.922618085618062</c:v>
                </c:pt>
                <c:pt idx="28">
                  <c:v>25.922618085618062</c:v>
                </c:pt>
                <c:pt idx="29">
                  <c:v>25.922618085618062</c:v>
                </c:pt>
                <c:pt idx="30">
                  <c:v>25.922618085618062</c:v>
                </c:pt>
                <c:pt idx="31">
                  <c:v>25.922618085618062</c:v>
                </c:pt>
                <c:pt idx="32">
                  <c:v>25.922618085618062</c:v>
                </c:pt>
                <c:pt idx="33">
                  <c:v>25.922618085618062</c:v>
                </c:pt>
                <c:pt idx="34">
                  <c:v>25.922618085618062</c:v>
                </c:pt>
                <c:pt idx="35">
                  <c:v>25.922618085618062</c:v>
                </c:pt>
                <c:pt idx="36">
                  <c:v>25.922618085618062</c:v>
                </c:pt>
                <c:pt idx="37">
                  <c:v>25.922618085618062</c:v>
                </c:pt>
                <c:pt idx="38">
                  <c:v>25.922618085618062</c:v>
                </c:pt>
                <c:pt idx="39">
                  <c:v>25.922618085618062</c:v>
                </c:pt>
                <c:pt idx="40">
                  <c:v>25.922618085618062</c:v>
                </c:pt>
                <c:pt idx="41">
                  <c:v>25.922618085618062</c:v>
                </c:pt>
                <c:pt idx="42">
                  <c:v>25.922618085618062</c:v>
                </c:pt>
                <c:pt idx="43">
                  <c:v>25.922618085618062</c:v>
                </c:pt>
                <c:pt idx="44">
                  <c:v>25.922618085618062</c:v>
                </c:pt>
                <c:pt idx="45">
                  <c:v>25.922618085618062</c:v>
                </c:pt>
                <c:pt idx="46">
                  <c:v>25.922618085618062</c:v>
                </c:pt>
                <c:pt idx="47">
                  <c:v>25.922618085618062</c:v>
                </c:pt>
                <c:pt idx="48">
                  <c:v>25.922618085618062</c:v>
                </c:pt>
                <c:pt idx="49">
                  <c:v>25.922618085618062</c:v>
                </c:pt>
                <c:pt idx="50">
                  <c:v>25.922618085618062</c:v>
                </c:pt>
                <c:pt idx="51">
                  <c:v>25.922618085618062</c:v>
                </c:pt>
                <c:pt idx="52">
                  <c:v>25.922618085618062</c:v>
                </c:pt>
                <c:pt idx="53">
                  <c:v>25.922618085618062</c:v>
                </c:pt>
                <c:pt idx="54">
                  <c:v>25.922618085618062</c:v>
                </c:pt>
                <c:pt idx="55">
                  <c:v>25.922618085618062</c:v>
                </c:pt>
                <c:pt idx="56">
                  <c:v>25.922618085618062</c:v>
                </c:pt>
                <c:pt idx="57">
                  <c:v>25.922618085618062</c:v>
                </c:pt>
                <c:pt idx="58">
                  <c:v>25.922618085618062</c:v>
                </c:pt>
                <c:pt idx="59">
                  <c:v>25.922618085618062</c:v>
                </c:pt>
                <c:pt idx="60">
                  <c:v>25.922618085618062</c:v>
                </c:pt>
                <c:pt idx="61">
                  <c:v>25.922618085618062</c:v>
                </c:pt>
                <c:pt idx="62">
                  <c:v>25.922618085618062</c:v>
                </c:pt>
                <c:pt idx="63">
                  <c:v>25.922618085618062</c:v>
                </c:pt>
                <c:pt idx="64">
                  <c:v>25.922618085618062</c:v>
                </c:pt>
                <c:pt idx="65">
                  <c:v>25.922618085618062</c:v>
                </c:pt>
                <c:pt idx="66">
                  <c:v>25.922618085618062</c:v>
                </c:pt>
                <c:pt idx="67">
                  <c:v>25.922618085618062</c:v>
                </c:pt>
                <c:pt idx="68">
                  <c:v>25.922618085618062</c:v>
                </c:pt>
                <c:pt idx="69">
                  <c:v>25.922618085618062</c:v>
                </c:pt>
                <c:pt idx="70">
                  <c:v>25.922618085618062</c:v>
                </c:pt>
                <c:pt idx="71">
                  <c:v>25.922618085618062</c:v>
                </c:pt>
                <c:pt idx="72">
                  <c:v>25.922618085618062</c:v>
                </c:pt>
                <c:pt idx="73">
                  <c:v>25.922618085618062</c:v>
                </c:pt>
                <c:pt idx="74">
                  <c:v>25.922618085618062</c:v>
                </c:pt>
                <c:pt idx="75">
                  <c:v>25.922618085618062</c:v>
                </c:pt>
                <c:pt idx="76">
                  <c:v>25.922618085618062</c:v>
                </c:pt>
                <c:pt idx="77">
                  <c:v>25.922618085618062</c:v>
                </c:pt>
                <c:pt idx="78">
                  <c:v>25.922618085618062</c:v>
                </c:pt>
                <c:pt idx="79">
                  <c:v>25.922618085618062</c:v>
                </c:pt>
                <c:pt idx="80">
                  <c:v>25.922618085618062</c:v>
                </c:pt>
                <c:pt idx="81">
                  <c:v>25.922618085618062</c:v>
                </c:pt>
                <c:pt idx="82">
                  <c:v>25.922618085618062</c:v>
                </c:pt>
                <c:pt idx="83">
                  <c:v>25.922618085618062</c:v>
                </c:pt>
                <c:pt idx="84">
                  <c:v>25.922618085618062</c:v>
                </c:pt>
                <c:pt idx="85">
                  <c:v>25.922618085618062</c:v>
                </c:pt>
                <c:pt idx="86">
                  <c:v>25.922618085618062</c:v>
                </c:pt>
                <c:pt idx="87">
                  <c:v>25.922618085618062</c:v>
                </c:pt>
                <c:pt idx="88">
                  <c:v>25.922618085618062</c:v>
                </c:pt>
                <c:pt idx="89">
                  <c:v>25.922618085618062</c:v>
                </c:pt>
                <c:pt idx="90">
                  <c:v>25.922618085618062</c:v>
                </c:pt>
                <c:pt idx="91">
                  <c:v>25.922618085618062</c:v>
                </c:pt>
                <c:pt idx="92">
                  <c:v>25.922618085618062</c:v>
                </c:pt>
                <c:pt idx="93">
                  <c:v>25.922618085618062</c:v>
                </c:pt>
                <c:pt idx="94">
                  <c:v>25.922618085618062</c:v>
                </c:pt>
                <c:pt idx="95">
                  <c:v>25.922618085618062</c:v>
                </c:pt>
                <c:pt idx="96">
                  <c:v>25.922618085618062</c:v>
                </c:pt>
                <c:pt idx="97">
                  <c:v>25.922618085618062</c:v>
                </c:pt>
                <c:pt idx="98">
                  <c:v>25.922618085618062</c:v>
                </c:pt>
                <c:pt idx="99">
                  <c:v>25.922618085618062</c:v>
                </c:pt>
                <c:pt idx="100">
                  <c:v>25.922618085618062</c:v>
                </c:pt>
                <c:pt idx="101">
                  <c:v>25.922618085618062</c:v>
                </c:pt>
                <c:pt idx="102">
                  <c:v>25.922618085618062</c:v>
                </c:pt>
                <c:pt idx="103">
                  <c:v>25.922618085618062</c:v>
                </c:pt>
                <c:pt idx="104">
                  <c:v>25.922618085618062</c:v>
                </c:pt>
                <c:pt idx="105">
                  <c:v>25.922618085618062</c:v>
                </c:pt>
                <c:pt idx="106">
                  <c:v>25.922618085618062</c:v>
                </c:pt>
                <c:pt idx="107">
                  <c:v>25.922618085618062</c:v>
                </c:pt>
                <c:pt idx="108">
                  <c:v>25.922618085618062</c:v>
                </c:pt>
                <c:pt idx="109">
                  <c:v>25.922618085618062</c:v>
                </c:pt>
                <c:pt idx="110">
                  <c:v>25.922618085618062</c:v>
                </c:pt>
                <c:pt idx="111">
                  <c:v>25.922618085618062</c:v>
                </c:pt>
                <c:pt idx="112">
                  <c:v>25.922618085618062</c:v>
                </c:pt>
                <c:pt idx="113">
                  <c:v>25.922618085618062</c:v>
                </c:pt>
                <c:pt idx="114">
                  <c:v>25.922618085618062</c:v>
                </c:pt>
                <c:pt idx="115">
                  <c:v>25.922618085618062</c:v>
                </c:pt>
                <c:pt idx="116">
                  <c:v>25.922618085618062</c:v>
                </c:pt>
                <c:pt idx="117">
                  <c:v>25.922618085618062</c:v>
                </c:pt>
                <c:pt idx="118">
                  <c:v>25.922618085618062</c:v>
                </c:pt>
                <c:pt idx="119">
                  <c:v>25.922618085618062</c:v>
                </c:pt>
                <c:pt idx="120">
                  <c:v>25.922618085618062</c:v>
                </c:pt>
                <c:pt idx="121">
                  <c:v>25.922618085618062</c:v>
                </c:pt>
                <c:pt idx="122">
                  <c:v>25.922618085618062</c:v>
                </c:pt>
                <c:pt idx="123">
                  <c:v>25.922618085618062</c:v>
                </c:pt>
                <c:pt idx="124">
                  <c:v>25.922618085618062</c:v>
                </c:pt>
                <c:pt idx="125">
                  <c:v>25.922618085618062</c:v>
                </c:pt>
                <c:pt idx="126">
                  <c:v>25.922618085618062</c:v>
                </c:pt>
                <c:pt idx="127">
                  <c:v>25.922618085618062</c:v>
                </c:pt>
                <c:pt idx="128">
                  <c:v>25.922618085618062</c:v>
                </c:pt>
                <c:pt idx="129">
                  <c:v>25.922618085618062</c:v>
                </c:pt>
                <c:pt idx="130">
                  <c:v>25.922618085618062</c:v>
                </c:pt>
                <c:pt idx="131">
                  <c:v>25.922618085618062</c:v>
                </c:pt>
                <c:pt idx="132">
                  <c:v>25.922618085618062</c:v>
                </c:pt>
                <c:pt idx="133">
                  <c:v>25.922618085618062</c:v>
                </c:pt>
                <c:pt idx="134">
                  <c:v>25.922618085618062</c:v>
                </c:pt>
                <c:pt idx="135">
                  <c:v>25.922618085618062</c:v>
                </c:pt>
                <c:pt idx="136">
                  <c:v>25.922618085618062</c:v>
                </c:pt>
                <c:pt idx="137">
                  <c:v>25.922618085618062</c:v>
                </c:pt>
                <c:pt idx="138">
                  <c:v>25.922618085618062</c:v>
                </c:pt>
                <c:pt idx="139">
                  <c:v>25.922618085618062</c:v>
                </c:pt>
                <c:pt idx="140">
                  <c:v>25.922618085618062</c:v>
                </c:pt>
                <c:pt idx="141">
                  <c:v>25.922618085618062</c:v>
                </c:pt>
                <c:pt idx="142">
                  <c:v>25.922618085618062</c:v>
                </c:pt>
                <c:pt idx="143">
                  <c:v>25.922618085618062</c:v>
                </c:pt>
                <c:pt idx="144">
                  <c:v>25.922618085618062</c:v>
                </c:pt>
                <c:pt idx="145">
                  <c:v>25.922618085618062</c:v>
                </c:pt>
                <c:pt idx="146">
                  <c:v>25.922618085618062</c:v>
                </c:pt>
                <c:pt idx="147">
                  <c:v>25.922618085618062</c:v>
                </c:pt>
                <c:pt idx="148">
                  <c:v>25.922618085618062</c:v>
                </c:pt>
                <c:pt idx="149">
                  <c:v>25.922618085618062</c:v>
                </c:pt>
                <c:pt idx="150">
                  <c:v>25.922618085618062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03-41A2-AA76-A193B345F407}"/>
            </c:ext>
          </c:extLst>
        </c:ser>
        <c:ser>
          <c:idx val="3"/>
          <c:order val="2"/>
          <c:tx>
            <c:strRef>
              <c:f>'Carta 0'!$BE$6</c:f>
              <c:strCache>
                <c:ptCount val="1"/>
                <c:pt idx="0">
                  <c:v>L.A.I.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0'!$BE$7:$BE$157</c:f>
              <c:numCache>
                <c:formatCode>0.000</c:formatCode>
                <c:ptCount val="151"/>
                <c:pt idx="0">
                  <c:v>25.578981914381949</c:v>
                </c:pt>
                <c:pt idx="1">
                  <c:v>25.578981914381949</c:v>
                </c:pt>
                <c:pt idx="2">
                  <c:v>25.578981914381949</c:v>
                </c:pt>
                <c:pt idx="3">
                  <c:v>25.578981914381949</c:v>
                </c:pt>
                <c:pt idx="4">
                  <c:v>25.578981914381949</c:v>
                </c:pt>
                <c:pt idx="5">
                  <c:v>25.578981914381949</c:v>
                </c:pt>
                <c:pt idx="6">
                  <c:v>25.578981914381949</c:v>
                </c:pt>
                <c:pt idx="7">
                  <c:v>25.578981914381949</c:v>
                </c:pt>
                <c:pt idx="8">
                  <c:v>25.578981914381949</c:v>
                </c:pt>
                <c:pt idx="9">
                  <c:v>25.578981914381949</c:v>
                </c:pt>
                <c:pt idx="10">
                  <c:v>25.578981914381949</c:v>
                </c:pt>
                <c:pt idx="11">
                  <c:v>25.578981914381949</c:v>
                </c:pt>
                <c:pt idx="12">
                  <c:v>25.578981914381949</c:v>
                </c:pt>
                <c:pt idx="13">
                  <c:v>25.578981914381949</c:v>
                </c:pt>
                <c:pt idx="14">
                  <c:v>25.578981914381949</c:v>
                </c:pt>
                <c:pt idx="15">
                  <c:v>25.578981914381949</c:v>
                </c:pt>
                <c:pt idx="16">
                  <c:v>25.578981914381949</c:v>
                </c:pt>
                <c:pt idx="17">
                  <c:v>25.578981914381949</c:v>
                </c:pt>
                <c:pt idx="18">
                  <c:v>25.578981914381949</c:v>
                </c:pt>
                <c:pt idx="19">
                  <c:v>25.578981914381949</c:v>
                </c:pt>
                <c:pt idx="20">
                  <c:v>25.578981914381949</c:v>
                </c:pt>
                <c:pt idx="21">
                  <c:v>25.578981914381949</c:v>
                </c:pt>
                <c:pt idx="22">
                  <c:v>25.578981914381949</c:v>
                </c:pt>
                <c:pt idx="23">
                  <c:v>25.578981914381949</c:v>
                </c:pt>
                <c:pt idx="24">
                  <c:v>25.578981914381949</c:v>
                </c:pt>
                <c:pt idx="25">
                  <c:v>25.578981914381949</c:v>
                </c:pt>
                <c:pt idx="26">
                  <c:v>25.578981914381949</c:v>
                </c:pt>
                <c:pt idx="27">
                  <c:v>25.578981914381949</c:v>
                </c:pt>
                <c:pt idx="28">
                  <c:v>25.578981914381949</c:v>
                </c:pt>
                <c:pt idx="29">
                  <c:v>25.578981914381949</c:v>
                </c:pt>
                <c:pt idx="30">
                  <c:v>25.578981914381949</c:v>
                </c:pt>
                <c:pt idx="31">
                  <c:v>25.578981914381949</c:v>
                </c:pt>
                <c:pt idx="32">
                  <c:v>25.578981914381949</c:v>
                </c:pt>
                <c:pt idx="33">
                  <c:v>25.578981914381949</c:v>
                </c:pt>
                <c:pt idx="34">
                  <c:v>25.578981914381949</c:v>
                </c:pt>
                <c:pt idx="35">
                  <c:v>25.578981914381949</c:v>
                </c:pt>
                <c:pt idx="36">
                  <c:v>25.578981914381949</c:v>
                </c:pt>
                <c:pt idx="37">
                  <c:v>25.578981914381949</c:v>
                </c:pt>
                <c:pt idx="38">
                  <c:v>25.578981914381949</c:v>
                </c:pt>
                <c:pt idx="39">
                  <c:v>25.578981914381949</c:v>
                </c:pt>
                <c:pt idx="40">
                  <c:v>25.578981914381949</c:v>
                </c:pt>
                <c:pt idx="41">
                  <c:v>25.578981914381949</c:v>
                </c:pt>
                <c:pt idx="42">
                  <c:v>25.578981914381949</c:v>
                </c:pt>
                <c:pt idx="43">
                  <c:v>25.578981914381949</c:v>
                </c:pt>
                <c:pt idx="44">
                  <c:v>25.578981914381949</c:v>
                </c:pt>
                <c:pt idx="45">
                  <c:v>25.578981914381949</c:v>
                </c:pt>
                <c:pt idx="46">
                  <c:v>25.578981914381949</c:v>
                </c:pt>
                <c:pt idx="47">
                  <c:v>25.578981914381949</c:v>
                </c:pt>
                <c:pt idx="48">
                  <c:v>25.578981914381949</c:v>
                </c:pt>
                <c:pt idx="49">
                  <c:v>25.578981914381949</c:v>
                </c:pt>
                <c:pt idx="50">
                  <c:v>25.578981914381949</c:v>
                </c:pt>
                <c:pt idx="51">
                  <c:v>25.578981914381949</c:v>
                </c:pt>
                <c:pt idx="52">
                  <c:v>25.578981914381949</c:v>
                </c:pt>
                <c:pt idx="53">
                  <c:v>25.578981914381949</c:v>
                </c:pt>
                <c:pt idx="54">
                  <c:v>25.578981914381949</c:v>
                </c:pt>
                <c:pt idx="55">
                  <c:v>25.578981914381949</c:v>
                </c:pt>
                <c:pt idx="56">
                  <c:v>25.578981914381949</c:v>
                </c:pt>
                <c:pt idx="57">
                  <c:v>25.578981914381949</c:v>
                </c:pt>
                <c:pt idx="58">
                  <c:v>25.578981914381949</c:v>
                </c:pt>
                <c:pt idx="59">
                  <c:v>25.578981914381949</c:v>
                </c:pt>
                <c:pt idx="60">
                  <c:v>25.578981914381949</c:v>
                </c:pt>
                <c:pt idx="61">
                  <c:v>25.578981914381949</c:v>
                </c:pt>
                <c:pt idx="62">
                  <c:v>25.578981914381949</c:v>
                </c:pt>
                <c:pt idx="63">
                  <c:v>25.578981914381949</c:v>
                </c:pt>
                <c:pt idx="64">
                  <c:v>25.578981914381949</c:v>
                </c:pt>
                <c:pt idx="65">
                  <c:v>25.578981914381949</c:v>
                </c:pt>
                <c:pt idx="66">
                  <c:v>25.578981914381949</c:v>
                </c:pt>
                <c:pt idx="67">
                  <c:v>25.578981914381949</c:v>
                </c:pt>
                <c:pt idx="68">
                  <c:v>25.578981914381949</c:v>
                </c:pt>
                <c:pt idx="69">
                  <c:v>25.578981914381949</c:v>
                </c:pt>
                <c:pt idx="70">
                  <c:v>25.578981914381949</c:v>
                </c:pt>
                <c:pt idx="71">
                  <c:v>25.578981914381949</c:v>
                </c:pt>
                <c:pt idx="72">
                  <c:v>25.578981914381949</c:v>
                </c:pt>
                <c:pt idx="73">
                  <c:v>25.578981914381949</c:v>
                </c:pt>
                <c:pt idx="74">
                  <c:v>25.578981914381949</c:v>
                </c:pt>
                <c:pt idx="75">
                  <c:v>25.578981914381949</c:v>
                </c:pt>
                <c:pt idx="76">
                  <c:v>25.578981914381949</c:v>
                </c:pt>
                <c:pt idx="77">
                  <c:v>25.578981914381949</c:v>
                </c:pt>
                <c:pt idx="78">
                  <c:v>25.578981914381949</c:v>
                </c:pt>
                <c:pt idx="79">
                  <c:v>25.578981914381949</c:v>
                </c:pt>
                <c:pt idx="80">
                  <c:v>25.578981914381949</c:v>
                </c:pt>
                <c:pt idx="81">
                  <c:v>25.578981914381949</c:v>
                </c:pt>
                <c:pt idx="82">
                  <c:v>25.578981914381949</c:v>
                </c:pt>
                <c:pt idx="83">
                  <c:v>25.578981914381949</c:v>
                </c:pt>
                <c:pt idx="84">
                  <c:v>25.578981914381949</c:v>
                </c:pt>
                <c:pt idx="85">
                  <c:v>25.578981914381949</c:v>
                </c:pt>
                <c:pt idx="86">
                  <c:v>25.578981914381949</c:v>
                </c:pt>
                <c:pt idx="87">
                  <c:v>25.578981914381949</c:v>
                </c:pt>
                <c:pt idx="88">
                  <c:v>25.578981914381949</c:v>
                </c:pt>
                <c:pt idx="89">
                  <c:v>25.578981914381949</c:v>
                </c:pt>
                <c:pt idx="90">
                  <c:v>25.578981914381949</c:v>
                </c:pt>
                <c:pt idx="91">
                  <c:v>25.578981914381949</c:v>
                </c:pt>
                <c:pt idx="92">
                  <c:v>25.578981914381949</c:v>
                </c:pt>
                <c:pt idx="93">
                  <c:v>25.578981914381949</c:v>
                </c:pt>
                <c:pt idx="94">
                  <c:v>25.578981914381949</c:v>
                </c:pt>
                <c:pt idx="95">
                  <c:v>25.578981914381949</c:v>
                </c:pt>
                <c:pt idx="96">
                  <c:v>25.578981914381949</c:v>
                </c:pt>
                <c:pt idx="97">
                  <c:v>25.578981914381949</c:v>
                </c:pt>
                <c:pt idx="98">
                  <c:v>25.578981914381949</c:v>
                </c:pt>
                <c:pt idx="99">
                  <c:v>25.578981914381949</c:v>
                </c:pt>
                <c:pt idx="100">
                  <c:v>25.578981914381949</c:v>
                </c:pt>
                <c:pt idx="101">
                  <c:v>25.578981914381949</c:v>
                </c:pt>
                <c:pt idx="102">
                  <c:v>25.578981914381949</c:v>
                </c:pt>
                <c:pt idx="103">
                  <c:v>25.578981914381949</c:v>
                </c:pt>
                <c:pt idx="104">
                  <c:v>25.578981914381949</c:v>
                </c:pt>
                <c:pt idx="105">
                  <c:v>25.578981914381949</c:v>
                </c:pt>
                <c:pt idx="106">
                  <c:v>25.578981914381949</c:v>
                </c:pt>
                <c:pt idx="107">
                  <c:v>25.578981914381949</c:v>
                </c:pt>
                <c:pt idx="108">
                  <c:v>25.578981914381949</c:v>
                </c:pt>
                <c:pt idx="109">
                  <c:v>25.578981914381949</c:v>
                </c:pt>
                <c:pt idx="110">
                  <c:v>25.578981914381949</c:v>
                </c:pt>
                <c:pt idx="111">
                  <c:v>25.578981914381949</c:v>
                </c:pt>
                <c:pt idx="112">
                  <c:v>25.578981914381949</c:v>
                </c:pt>
                <c:pt idx="113">
                  <c:v>25.578981914381949</c:v>
                </c:pt>
                <c:pt idx="114">
                  <c:v>25.578981914381949</c:v>
                </c:pt>
                <c:pt idx="115">
                  <c:v>25.578981914381949</c:v>
                </c:pt>
                <c:pt idx="116">
                  <c:v>25.578981914381949</c:v>
                </c:pt>
                <c:pt idx="117">
                  <c:v>25.578981914381949</c:v>
                </c:pt>
                <c:pt idx="118">
                  <c:v>25.578981914381949</c:v>
                </c:pt>
                <c:pt idx="119">
                  <c:v>25.578981914381949</c:v>
                </c:pt>
                <c:pt idx="120">
                  <c:v>25.578981914381949</c:v>
                </c:pt>
                <c:pt idx="121">
                  <c:v>25.578981914381949</c:v>
                </c:pt>
                <c:pt idx="122">
                  <c:v>25.578981914381949</c:v>
                </c:pt>
                <c:pt idx="123">
                  <c:v>25.578981914381949</c:v>
                </c:pt>
                <c:pt idx="124">
                  <c:v>25.578981914381949</c:v>
                </c:pt>
                <c:pt idx="125">
                  <c:v>25.578981914381949</c:v>
                </c:pt>
                <c:pt idx="126">
                  <c:v>25.578981914381949</c:v>
                </c:pt>
                <c:pt idx="127">
                  <c:v>25.578981914381949</c:v>
                </c:pt>
                <c:pt idx="128">
                  <c:v>25.578981914381949</c:v>
                </c:pt>
                <c:pt idx="129">
                  <c:v>25.578981914381949</c:v>
                </c:pt>
                <c:pt idx="130">
                  <c:v>25.578981914381949</c:v>
                </c:pt>
                <c:pt idx="131">
                  <c:v>25.578981914381949</c:v>
                </c:pt>
                <c:pt idx="132">
                  <c:v>25.578981914381949</c:v>
                </c:pt>
                <c:pt idx="133">
                  <c:v>25.578981914381949</c:v>
                </c:pt>
                <c:pt idx="134">
                  <c:v>25.578981914381949</c:v>
                </c:pt>
                <c:pt idx="135">
                  <c:v>25.578981914381949</c:v>
                </c:pt>
                <c:pt idx="136">
                  <c:v>25.578981914381949</c:v>
                </c:pt>
                <c:pt idx="137">
                  <c:v>25.578981914381949</c:v>
                </c:pt>
                <c:pt idx="138">
                  <c:v>25.578981914381949</c:v>
                </c:pt>
                <c:pt idx="139">
                  <c:v>25.578981914381949</c:v>
                </c:pt>
                <c:pt idx="140">
                  <c:v>25.578981914381949</c:v>
                </c:pt>
                <c:pt idx="141">
                  <c:v>25.578981914381949</c:v>
                </c:pt>
                <c:pt idx="142">
                  <c:v>25.578981914381949</c:v>
                </c:pt>
                <c:pt idx="143">
                  <c:v>25.578981914381949</c:v>
                </c:pt>
                <c:pt idx="144">
                  <c:v>25.578981914381949</c:v>
                </c:pt>
                <c:pt idx="145">
                  <c:v>25.578981914381949</c:v>
                </c:pt>
                <c:pt idx="146">
                  <c:v>25.578981914381949</c:v>
                </c:pt>
                <c:pt idx="147">
                  <c:v>25.578981914381949</c:v>
                </c:pt>
                <c:pt idx="148">
                  <c:v>25.578981914381949</c:v>
                </c:pt>
                <c:pt idx="149">
                  <c:v>25.578981914381949</c:v>
                </c:pt>
                <c:pt idx="150">
                  <c:v>25.578981914381949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03-41A2-AA76-A193B345F407}"/>
            </c:ext>
          </c:extLst>
        </c:ser>
        <c:ser>
          <c:idx val="4"/>
          <c:order val="3"/>
          <c:tx>
            <c:strRef>
              <c:f>'Carta 0'!$BF$6</c:f>
              <c:strCache>
                <c:ptCount val="1"/>
                <c:pt idx="0">
                  <c:v>L.D.S.</c:v>
                </c:pt>
              </c:strCache>
            </c:strRef>
          </c:tx>
          <c:spPr>
            <a:ln w="19050" cap="rnd">
              <a:solidFill>
                <a:srgbClr val="FFFF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0'!$AZ$7:$AZ$157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0'!$BF$7:$BF$157</c:f>
              <c:numCache>
                <c:formatCode>0.000</c:formatCode>
                <c:ptCount val="151"/>
                <c:pt idx="0">
                  <c:v>25.865345390412045</c:v>
                </c:pt>
                <c:pt idx="1">
                  <c:v>25.865345390412045</c:v>
                </c:pt>
                <c:pt idx="2">
                  <c:v>25.865345390412045</c:v>
                </c:pt>
                <c:pt idx="3">
                  <c:v>25.865345390412045</c:v>
                </c:pt>
                <c:pt idx="4">
                  <c:v>25.865345390412045</c:v>
                </c:pt>
                <c:pt idx="5">
                  <c:v>25.865345390412045</c:v>
                </c:pt>
                <c:pt idx="6">
                  <c:v>25.865345390412045</c:v>
                </c:pt>
                <c:pt idx="7">
                  <c:v>25.865345390412045</c:v>
                </c:pt>
                <c:pt idx="8">
                  <c:v>25.865345390412045</c:v>
                </c:pt>
                <c:pt idx="9">
                  <c:v>25.865345390412045</c:v>
                </c:pt>
                <c:pt idx="10">
                  <c:v>25.865345390412045</c:v>
                </c:pt>
                <c:pt idx="11">
                  <c:v>25.865345390412045</c:v>
                </c:pt>
                <c:pt idx="12">
                  <c:v>25.865345390412045</c:v>
                </c:pt>
                <c:pt idx="13">
                  <c:v>25.865345390412045</c:v>
                </c:pt>
                <c:pt idx="14">
                  <c:v>25.865345390412045</c:v>
                </c:pt>
                <c:pt idx="15">
                  <c:v>25.865345390412045</c:v>
                </c:pt>
                <c:pt idx="16">
                  <c:v>25.865345390412045</c:v>
                </c:pt>
                <c:pt idx="17">
                  <c:v>25.865345390412045</c:v>
                </c:pt>
                <c:pt idx="18">
                  <c:v>25.865345390412045</c:v>
                </c:pt>
                <c:pt idx="19">
                  <c:v>25.865345390412045</c:v>
                </c:pt>
                <c:pt idx="20">
                  <c:v>25.865345390412045</c:v>
                </c:pt>
                <c:pt idx="21">
                  <c:v>25.865345390412045</c:v>
                </c:pt>
                <c:pt idx="22">
                  <c:v>25.865345390412045</c:v>
                </c:pt>
                <c:pt idx="23">
                  <c:v>25.865345390412045</c:v>
                </c:pt>
                <c:pt idx="24">
                  <c:v>25.865345390412045</c:v>
                </c:pt>
                <c:pt idx="25">
                  <c:v>25.865345390412045</c:v>
                </c:pt>
                <c:pt idx="26">
                  <c:v>25.865345390412045</c:v>
                </c:pt>
                <c:pt idx="27">
                  <c:v>25.865345390412045</c:v>
                </c:pt>
                <c:pt idx="28">
                  <c:v>25.865345390412045</c:v>
                </c:pt>
                <c:pt idx="29">
                  <c:v>25.865345390412045</c:v>
                </c:pt>
                <c:pt idx="30">
                  <c:v>25.865345390412045</c:v>
                </c:pt>
                <c:pt idx="31">
                  <c:v>25.865345390412045</c:v>
                </c:pt>
                <c:pt idx="32">
                  <c:v>25.865345390412045</c:v>
                </c:pt>
                <c:pt idx="33">
                  <c:v>25.865345390412045</c:v>
                </c:pt>
                <c:pt idx="34">
                  <c:v>25.865345390412045</c:v>
                </c:pt>
                <c:pt idx="35">
                  <c:v>25.865345390412045</c:v>
                </c:pt>
                <c:pt idx="36">
                  <c:v>25.865345390412045</c:v>
                </c:pt>
                <c:pt idx="37">
                  <c:v>25.865345390412045</c:v>
                </c:pt>
                <c:pt idx="38">
                  <c:v>25.865345390412045</c:v>
                </c:pt>
                <c:pt idx="39">
                  <c:v>25.865345390412045</c:v>
                </c:pt>
                <c:pt idx="40">
                  <c:v>25.865345390412045</c:v>
                </c:pt>
                <c:pt idx="41">
                  <c:v>25.865345390412045</c:v>
                </c:pt>
                <c:pt idx="42">
                  <c:v>25.865345390412045</c:v>
                </c:pt>
                <c:pt idx="43">
                  <c:v>25.865345390412045</c:v>
                </c:pt>
                <c:pt idx="44">
                  <c:v>25.865345390412045</c:v>
                </c:pt>
                <c:pt idx="45">
                  <c:v>25.865345390412045</c:v>
                </c:pt>
                <c:pt idx="46">
                  <c:v>25.865345390412045</c:v>
                </c:pt>
                <c:pt idx="47">
                  <c:v>25.865345390412045</c:v>
                </c:pt>
                <c:pt idx="48">
                  <c:v>25.865345390412045</c:v>
                </c:pt>
                <c:pt idx="49">
                  <c:v>25.865345390412045</c:v>
                </c:pt>
                <c:pt idx="50">
                  <c:v>25.865345390412045</c:v>
                </c:pt>
                <c:pt idx="51">
                  <c:v>25.865345390412045</c:v>
                </c:pt>
                <c:pt idx="52">
                  <c:v>25.865345390412045</c:v>
                </c:pt>
                <c:pt idx="53">
                  <c:v>25.865345390412045</c:v>
                </c:pt>
                <c:pt idx="54">
                  <c:v>25.865345390412045</c:v>
                </c:pt>
                <c:pt idx="55">
                  <c:v>25.865345390412045</c:v>
                </c:pt>
                <c:pt idx="56">
                  <c:v>25.865345390412045</c:v>
                </c:pt>
                <c:pt idx="57">
                  <c:v>25.865345390412045</c:v>
                </c:pt>
                <c:pt idx="58">
                  <c:v>25.865345390412045</c:v>
                </c:pt>
                <c:pt idx="59">
                  <c:v>25.865345390412045</c:v>
                </c:pt>
                <c:pt idx="60">
                  <c:v>25.865345390412045</c:v>
                </c:pt>
                <c:pt idx="61">
                  <c:v>25.865345390412045</c:v>
                </c:pt>
                <c:pt idx="62">
                  <c:v>25.865345390412045</c:v>
                </c:pt>
                <c:pt idx="63">
                  <c:v>25.865345390412045</c:v>
                </c:pt>
                <c:pt idx="64">
                  <c:v>25.865345390412045</c:v>
                </c:pt>
                <c:pt idx="65">
                  <c:v>25.865345390412045</c:v>
                </c:pt>
                <c:pt idx="66">
                  <c:v>25.865345390412045</c:v>
                </c:pt>
                <c:pt idx="67">
                  <c:v>25.865345390412045</c:v>
                </c:pt>
                <c:pt idx="68">
                  <c:v>25.865345390412045</c:v>
                </c:pt>
                <c:pt idx="69">
                  <c:v>25.865345390412045</c:v>
                </c:pt>
                <c:pt idx="70">
                  <c:v>25.865345390412045</c:v>
                </c:pt>
                <c:pt idx="71">
                  <c:v>25.865345390412045</c:v>
                </c:pt>
                <c:pt idx="72">
                  <c:v>25.865345390412045</c:v>
                </c:pt>
                <c:pt idx="73">
                  <c:v>25.865345390412045</c:v>
                </c:pt>
                <c:pt idx="74">
                  <c:v>25.865345390412045</c:v>
                </c:pt>
                <c:pt idx="75">
                  <c:v>25.865345390412045</c:v>
                </c:pt>
                <c:pt idx="76">
                  <c:v>25.865345390412045</c:v>
                </c:pt>
                <c:pt idx="77">
                  <c:v>25.865345390412045</c:v>
                </c:pt>
                <c:pt idx="78">
                  <c:v>25.865345390412045</c:v>
                </c:pt>
                <c:pt idx="79">
                  <c:v>25.865345390412045</c:v>
                </c:pt>
                <c:pt idx="80">
                  <c:v>25.865345390412045</c:v>
                </c:pt>
                <c:pt idx="81">
                  <c:v>25.865345390412045</c:v>
                </c:pt>
                <c:pt idx="82">
                  <c:v>25.865345390412045</c:v>
                </c:pt>
                <c:pt idx="83">
                  <c:v>25.865345390412045</c:v>
                </c:pt>
                <c:pt idx="84">
                  <c:v>25.865345390412045</c:v>
                </c:pt>
                <c:pt idx="85">
                  <c:v>25.865345390412045</c:v>
                </c:pt>
                <c:pt idx="86">
                  <c:v>25.865345390412045</c:v>
                </c:pt>
                <c:pt idx="87">
                  <c:v>25.865345390412045</c:v>
                </c:pt>
                <c:pt idx="88">
                  <c:v>25.865345390412045</c:v>
                </c:pt>
                <c:pt idx="89">
                  <c:v>25.865345390412045</c:v>
                </c:pt>
                <c:pt idx="90">
                  <c:v>25.865345390412045</c:v>
                </c:pt>
                <c:pt idx="91">
                  <c:v>25.865345390412045</c:v>
                </c:pt>
                <c:pt idx="92">
                  <c:v>25.865345390412045</c:v>
                </c:pt>
                <c:pt idx="93">
                  <c:v>25.865345390412045</c:v>
                </c:pt>
                <c:pt idx="94">
                  <c:v>25.865345390412045</c:v>
                </c:pt>
                <c:pt idx="95">
                  <c:v>25.865345390412045</c:v>
                </c:pt>
                <c:pt idx="96">
                  <c:v>25.865345390412045</c:v>
                </c:pt>
                <c:pt idx="97">
                  <c:v>25.865345390412045</c:v>
                </c:pt>
                <c:pt idx="98">
                  <c:v>25.865345390412045</c:v>
                </c:pt>
                <c:pt idx="99">
                  <c:v>25.865345390412045</c:v>
                </c:pt>
                <c:pt idx="100">
                  <c:v>25.865345390412045</c:v>
                </c:pt>
                <c:pt idx="101">
                  <c:v>25.865345390412045</c:v>
                </c:pt>
                <c:pt idx="102">
                  <c:v>25.865345390412045</c:v>
                </c:pt>
                <c:pt idx="103">
                  <c:v>25.865345390412045</c:v>
                </c:pt>
                <c:pt idx="104">
                  <c:v>25.865345390412045</c:v>
                </c:pt>
                <c:pt idx="105">
                  <c:v>25.865345390412045</c:v>
                </c:pt>
                <c:pt idx="106">
                  <c:v>25.865345390412045</c:v>
                </c:pt>
                <c:pt idx="107">
                  <c:v>25.865345390412045</c:v>
                </c:pt>
                <c:pt idx="108">
                  <c:v>25.865345390412045</c:v>
                </c:pt>
                <c:pt idx="109">
                  <c:v>25.865345390412045</c:v>
                </c:pt>
                <c:pt idx="110">
                  <c:v>25.865345390412045</c:v>
                </c:pt>
                <c:pt idx="111">
                  <c:v>25.865345390412045</c:v>
                </c:pt>
                <c:pt idx="112">
                  <c:v>25.865345390412045</c:v>
                </c:pt>
                <c:pt idx="113">
                  <c:v>25.865345390412045</c:v>
                </c:pt>
                <c:pt idx="114">
                  <c:v>25.865345390412045</c:v>
                </c:pt>
                <c:pt idx="115">
                  <c:v>25.865345390412045</c:v>
                </c:pt>
                <c:pt idx="116">
                  <c:v>25.865345390412045</c:v>
                </c:pt>
                <c:pt idx="117">
                  <c:v>25.865345390412045</c:v>
                </c:pt>
                <c:pt idx="118">
                  <c:v>25.865345390412045</c:v>
                </c:pt>
                <c:pt idx="119">
                  <c:v>25.865345390412045</c:v>
                </c:pt>
                <c:pt idx="120">
                  <c:v>25.865345390412045</c:v>
                </c:pt>
                <c:pt idx="121">
                  <c:v>25.865345390412045</c:v>
                </c:pt>
                <c:pt idx="122">
                  <c:v>25.865345390412045</c:v>
                </c:pt>
                <c:pt idx="123">
                  <c:v>25.865345390412045</c:v>
                </c:pt>
                <c:pt idx="124">
                  <c:v>25.865345390412045</c:v>
                </c:pt>
                <c:pt idx="125">
                  <c:v>25.865345390412045</c:v>
                </c:pt>
                <c:pt idx="126">
                  <c:v>25.865345390412045</c:v>
                </c:pt>
                <c:pt idx="127">
                  <c:v>25.865345390412045</c:v>
                </c:pt>
                <c:pt idx="128">
                  <c:v>25.865345390412045</c:v>
                </c:pt>
                <c:pt idx="129">
                  <c:v>25.865345390412045</c:v>
                </c:pt>
                <c:pt idx="130">
                  <c:v>25.865345390412045</c:v>
                </c:pt>
                <c:pt idx="131">
                  <c:v>25.865345390412045</c:v>
                </c:pt>
                <c:pt idx="132">
                  <c:v>25.865345390412045</c:v>
                </c:pt>
                <c:pt idx="133">
                  <c:v>25.865345390412045</c:v>
                </c:pt>
                <c:pt idx="134">
                  <c:v>25.865345390412045</c:v>
                </c:pt>
                <c:pt idx="135">
                  <c:v>25.865345390412045</c:v>
                </c:pt>
                <c:pt idx="136">
                  <c:v>25.865345390412045</c:v>
                </c:pt>
                <c:pt idx="137">
                  <c:v>25.865345390412045</c:v>
                </c:pt>
                <c:pt idx="138">
                  <c:v>25.865345390412045</c:v>
                </c:pt>
                <c:pt idx="139">
                  <c:v>25.865345390412045</c:v>
                </c:pt>
                <c:pt idx="140">
                  <c:v>25.865345390412045</c:v>
                </c:pt>
                <c:pt idx="141">
                  <c:v>25.865345390412045</c:v>
                </c:pt>
                <c:pt idx="142">
                  <c:v>25.865345390412045</c:v>
                </c:pt>
                <c:pt idx="143">
                  <c:v>25.865345390412045</c:v>
                </c:pt>
                <c:pt idx="144">
                  <c:v>25.865345390412045</c:v>
                </c:pt>
                <c:pt idx="145">
                  <c:v>25.865345390412045</c:v>
                </c:pt>
                <c:pt idx="146">
                  <c:v>25.865345390412045</c:v>
                </c:pt>
                <c:pt idx="147">
                  <c:v>25.865345390412045</c:v>
                </c:pt>
                <c:pt idx="148">
                  <c:v>25.865345390412045</c:v>
                </c:pt>
                <c:pt idx="149">
                  <c:v>25.865345390412045</c:v>
                </c:pt>
                <c:pt idx="150">
                  <c:v>25.865345390412045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03-41A2-AA76-A193B345F407}"/>
            </c:ext>
          </c:extLst>
        </c:ser>
        <c:ser>
          <c:idx val="5"/>
          <c:order val="4"/>
          <c:tx>
            <c:strRef>
              <c:f>'Carta 0'!$BG$6</c:f>
              <c:strCache>
                <c:ptCount val="1"/>
                <c:pt idx="0">
                  <c:v>L.D.I.</c:v>
                </c:pt>
              </c:strCache>
            </c:strRef>
          </c:tx>
          <c:spPr>
            <a:ln w="19050" cap="rnd">
              <a:solidFill>
                <a:srgbClr val="FFFF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0'!$AZ$7:$AZ$157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0'!$BG$7:$BG$157</c:f>
              <c:numCache>
                <c:formatCode>0.000</c:formatCode>
                <c:ptCount val="151"/>
                <c:pt idx="0">
                  <c:v>25.636254609587965</c:v>
                </c:pt>
                <c:pt idx="1">
                  <c:v>25.636254609587965</c:v>
                </c:pt>
                <c:pt idx="2">
                  <c:v>25.636254609587965</c:v>
                </c:pt>
                <c:pt idx="3">
                  <c:v>25.636254609587965</c:v>
                </c:pt>
                <c:pt idx="4">
                  <c:v>25.636254609587965</c:v>
                </c:pt>
                <c:pt idx="5">
                  <c:v>25.636254609587965</c:v>
                </c:pt>
                <c:pt idx="6">
                  <c:v>25.636254609587965</c:v>
                </c:pt>
                <c:pt idx="7">
                  <c:v>25.636254609587965</c:v>
                </c:pt>
                <c:pt idx="8">
                  <c:v>25.636254609587965</c:v>
                </c:pt>
                <c:pt idx="9">
                  <c:v>25.636254609587965</c:v>
                </c:pt>
                <c:pt idx="10">
                  <c:v>25.636254609587965</c:v>
                </c:pt>
                <c:pt idx="11">
                  <c:v>25.636254609587965</c:v>
                </c:pt>
                <c:pt idx="12">
                  <c:v>25.636254609587965</c:v>
                </c:pt>
                <c:pt idx="13">
                  <c:v>25.636254609587965</c:v>
                </c:pt>
                <c:pt idx="14">
                  <c:v>25.636254609587965</c:v>
                </c:pt>
                <c:pt idx="15">
                  <c:v>25.636254609587965</c:v>
                </c:pt>
                <c:pt idx="16">
                  <c:v>25.636254609587965</c:v>
                </c:pt>
                <c:pt idx="17">
                  <c:v>25.636254609587965</c:v>
                </c:pt>
                <c:pt idx="18">
                  <c:v>25.636254609587965</c:v>
                </c:pt>
                <c:pt idx="19">
                  <c:v>25.636254609587965</c:v>
                </c:pt>
                <c:pt idx="20">
                  <c:v>25.636254609587965</c:v>
                </c:pt>
                <c:pt idx="21">
                  <c:v>25.636254609587965</c:v>
                </c:pt>
                <c:pt idx="22">
                  <c:v>25.636254609587965</c:v>
                </c:pt>
                <c:pt idx="23">
                  <c:v>25.636254609587965</c:v>
                </c:pt>
                <c:pt idx="24">
                  <c:v>25.636254609587965</c:v>
                </c:pt>
                <c:pt idx="25">
                  <c:v>25.636254609587965</c:v>
                </c:pt>
                <c:pt idx="26">
                  <c:v>25.636254609587965</c:v>
                </c:pt>
                <c:pt idx="27">
                  <c:v>25.636254609587965</c:v>
                </c:pt>
                <c:pt idx="28">
                  <c:v>25.636254609587965</c:v>
                </c:pt>
                <c:pt idx="29">
                  <c:v>25.636254609587965</c:v>
                </c:pt>
                <c:pt idx="30">
                  <c:v>25.636254609587965</c:v>
                </c:pt>
                <c:pt idx="31">
                  <c:v>25.636254609587965</c:v>
                </c:pt>
                <c:pt idx="32">
                  <c:v>25.636254609587965</c:v>
                </c:pt>
                <c:pt idx="33">
                  <c:v>25.636254609587965</c:v>
                </c:pt>
                <c:pt idx="34">
                  <c:v>25.636254609587965</c:v>
                </c:pt>
                <c:pt idx="35">
                  <c:v>25.636254609587965</c:v>
                </c:pt>
                <c:pt idx="36">
                  <c:v>25.636254609587965</c:v>
                </c:pt>
                <c:pt idx="37">
                  <c:v>25.636254609587965</c:v>
                </c:pt>
                <c:pt idx="38">
                  <c:v>25.636254609587965</c:v>
                </c:pt>
                <c:pt idx="39">
                  <c:v>25.636254609587965</c:v>
                </c:pt>
                <c:pt idx="40">
                  <c:v>25.636254609587965</c:v>
                </c:pt>
                <c:pt idx="41">
                  <c:v>25.636254609587965</c:v>
                </c:pt>
                <c:pt idx="42">
                  <c:v>25.636254609587965</c:v>
                </c:pt>
                <c:pt idx="43">
                  <c:v>25.636254609587965</c:v>
                </c:pt>
                <c:pt idx="44">
                  <c:v>25.636254609587965</c:v>
                </c:pt>
                <c:pt idx="45">
                  <c:v>25.636254609587965</c:v>
                </c:pt>
                <c:pt idx="46">
                  <c:v>25.636254609587965</c:v>
                </c:pt>
                <c:pt idx="47">
                  <c:v>25.636254609587965</c:v>
                </c:pt>
                <c:pt idx="48">
                  <c:v>25.636254609587965</c:v>
                </c:pt>
                <c:pt idx="49">
                  <c:v>25.636254609587965</c:v>
                </c:pt>
                <c:pt idx="50">
                  <c:v>25.636254609587965</c:v>
                </c:pt>
                <c:pt idx="51">
                  <c:v>25.636254609587965</c:v>
                </c:pt>
                <c:pt idx="52">
                  <c:v>25.636254609587965</c:v>
                </c:pt>
                <c:pt idx="53">
                  <c:v>25.636254609587965</c:v>
                </c:pt>
                <c:pt idx="54">
                  <c:v>25.636254609587965</c:v>
                </c:pt>
                <c:pt idx="55">
                  <c:v>25.636254609587965</c:v>
                </c:pt>
                <c:pt idx="56">
                  <c:v>25.636254609587965</c:v>
                </c:pt>
                <c:pt idx="57">
                  <c:v>25.636254609587965</c:v>
                </c:pt>
                <c:pt idx="58">
                  <c:v>25.636254609587965</c:v>
                </c:pt>
                <c:pt idx="59">
                  <c:v>25.636254609587965</c:v>
                </c:pt>
                <c:pt idx="60">
                  <c:v>25.636254609587965</c:v>
                </c:pt>
                <c:pt idx="61">
                  <c:v>25.636254609587965</c:v>
                </c:pt>
                <c:pt idx="62">
                  <c:v>25.636254609587965</c:v>
                </c:pt>
                <c:pt idx="63">
                  <c:v>25.636254609587965</c:v>
                </c:pt>
                <c:pt idx="64">
                  <c:v>25.636254609587965</c:v>
                </c:pt>
                <c:pt idx="65">
                  <c:v>25.636254609587965</c:v>
                </c:pt>
                <c:pt idx="66">
                  <c:v>25.636254609587965</c:v>
                </c:pt>
                <c:pt idx="67">
                  <c:v>25.636254609587965</c:v>
                </c:pt>
                <c:pt idx="68">
                  <c:v>25.636254609587965</c:v>
                </c:pt>
                <c:pt idx="69">
                  <c:v>25.636254609587965</c:v>
                </c:pt>
                <c:pt idx="70">
                  <c:v>25.636254609587965</c:v>
                </c:pt>
                <c:pt idx="71">
                  <c:v>25.636254609587965</c:v>
                </c:pt>
                <c:pt idx="72">
                  <c:v>25.636254609587965</c:v>
                </c:pt>
                <c:pt idx="73">
                  <c:v>25.636254609587965</c:v>
                </c:pt>
                <c:pt idx="74">
                  <c:v>25.636254609587965</c:v>
                </c:pt>
                <c:pt idx="75">
                  <c:v>25.636254609587965</c:v>
                </c:pt>
                <c:pt idx="76">
                  <c:v>25.636254609587965</c:v>
                </c:pt>
                <c:pt idx="77">
                  <c:v>25.636254609587965</c:v>
                </c:pt>
                <c:pt idx="78">
                  <c:v>25.636254609587965</c:v>
                </c:pt>
                <c:pt idx="79">
                  <c:v>25.636254609587965</c:v>
                </c:pt>
                <c:pt idx="80">
                  <c:v>25.636254609587965</c:v>
                </c:pt>
                <c:pt idx="81">
                  <c:v>25.636254609587965</c:v>
                </c:pt>
                <c:pt idx="82">
                  <c:v>25.636254609587965</c:v>
                </c:pt>
                <c:pt idx="83">
                  <c:v>25.636254609587965</c:v>
                </c:pt>
                <c:pt idx="84">
                  <c:v>25.636254609587965</c:v>
                </c:pt>
                <c:pt idx="85">
                  <c:v>25.636254609587965</c:v>
                </c:pt>
                <c:pt idx="86">
                  <c:v>25.636254609587965</c:v>
                </c:pt>
                <c:pt idx="87">
                  <c:v>25.636254609587965</c:v>
                </c:pt>
                <c:pt idx="88">
                  <c:v>25.636254609587965</c:v>
                </c:pt>
                <c:pt idx="89">
                  <c:v>25.636254609587965</c:v>
                </c:pt>
                <c:pt idx="90">
                  <c:v>25.636254609587965</c:v>
                </c:pt>
                <c:pt idx="91">
                  <c:v>25.636254609587965</c:v>
                </c:pt>
                <c:pt idx="92">
                  <c:v>25.636254609587965</c:v>
                </c:pt>
                <c:pt idx="93">
                  <c:v>25.636254609587965</c:v>
                </c:pt>
                <c:pt idx="94">
                  <c:v>25.636254609587965</c:v>
                </c:pt>
                <c:pt idx="95">
                  <c:v>25.636254609587965</c:v>
                </c:pt>
                <c:pt idx="96">
                  <c:v>25.636254609587965</c:v>
                </c:pt>
                <c:pt idx="97">
                  <c:v>25.636254609587965</c:v>
                </c:pt>
                <c:pt idx="98">
                  <c:v>25.636254609587965</c:v>
                </c:pt>
                <c:pt idx="99">
                  <c:v>25.636254609587965</c:v>
                </c:pt>
                <c:pt idx="100">
                  <c:v>25.636254609587965</c:v>
                </c:pt>
                <c:pt idx="101">
                  <c:v>25.636254609587965</c:v>
                </c:pt>
                <c:pt idx="102">
                  <c:v>25.636254609587965</c:v>
                </c:pt>
                <c:pt idx="103">
                  <c:v>25.636254609587965</c:v>
                </c:pt>
                <c:pt idx="104">
                  <c:v>25.636254609587965</c:v>
                </c:pt>
                <c:pt idx="105">
                  <c:v>25.636254609587965</c:v>
                </c:pt>
                <c:pt idx="106">
                  <c:v>25.636254609587965</c:v>
                </c:pt>
                <c:pt idx="107">
                  <c:v>25.636254609587965</c:v>
                </c:pt>
                <c:pt idx="108">
                  <c:v>25.636254609587965</c:v>
                </c:pt>
                <c:pt idx="109">
                  <c:v>25.636254609587965</c:v>
                </c:pt>
                <c:pt idx="110">
                  <c:v>25.636254609587965</c:v>
                </c:pt>
                <c:pt idx="111">
                  <c:v>25.636254609587965</c:v>
                </c:pt>
                <c:pt idx="112">
                  <c:v>25.636254609587965</c:v>
                </c:pt>
                <c:pt idx="113">
                  <c:v>25.636254609587965</c:v>
                </c:pt>
                <c:pt idx="114">
                  <c:v>25.636254609587965</c:v>
                </c:pt>
                <c:pt idx="115">
                  <c:v>25.636254609587965</c:v>
                </c:pt>
                <c:pt idx="116">
                  <c:v>25.636254609587965</c:v>
                </c:pt>
                <c:pt idx="117">
                  <c:v>25.636254609587965</c:v>
                </c:pt>
                <c:pt idx="118">
                  <c:v>25.636254609587965</c:v>
                </c:pt>
                <c:pt idx="119">
                  <c:v>25.636254609587965</c:v>
                </c:pt>
                <c:pt idx="120">
                  <c:v>25.636254609587965</c:v>
                </c:pt>
                <c:pt idx="121">
                  <c:v>25.636254609587965</c:v>
                </c:pt>
                <c:pt idx="122">
                  <c:v>25.636254609587965</c:v>
                </c:pt>
                <c:pt idx="123">
                  <c:v>25.636254609587965</c:v>
                </c:pt>
                <c:pt idx="124">
                  <c:v>25.636254609587965</c:v>
                </c:pt>
                <c:pt idx="125">
                  <c:v>25.636254609587965</c:v>
                </c:pt>
                <c:pt idx="126">
                  <c:v>25.636254609587965</c:v>
                </c:pt>
                <c:pt idx="127">
                  <c:v>25.636254609587965</c:v>
                </c:pt>
                <c:pt idx="128">
                  <c:v>25.636254609587965</c:v>
                </c:pt>
                <c:pt idx="129">
                  <c:v>25.636254609587965</c:v>
                </c:pt>
                <c:pt idx="130">
                  <c:v>25.636254609587965</c:v>
                </c:pt>
                <c:pt idx="131">
                  <c:v>25.636254609587965</c:v>
                </c:pt>
                <c:pt idx="132">
                  <c:v>25.636254609587965</c:v>
                </c:pt>
                <c:pt idx="133">
                  <c:v>25.636254609587965</c:v>
                </c:pt>
                <c:pt idx="134">
                  <c:v>25.636254609587965</c:v>
                </c:pt>
                <c:pt idx="135">
                  <c:v>25.636254609587965</c:v>
                </c:pt>
                <c:pt idx="136">
                  <c:v>25.636254609587965</c:v>
                </c:pt>
                <c:pt idx="137">
                  <c:v>25.636254609587965</c:v>
                </c:pt>
                <c:pt idx="138">
                  <c:v>25.636254609587965</c:v>
                </c:pt>
                <c:pt idx="139">
                  <c:v>25.636254609587965</c:v>
                </c:pt>
                <c:pt idx="140">
                  <c:v>25.636254609587965</c:v>
                </c:pt>
                <c:pt idx="141">
                  <c:v>25.636254609587965</c:v>
                </c:pt>
                <c:pt idx="142">
                  <c:v>25.636254609587965</c:v>
                </c:pt>
                <c:pt idx="143">
                  <c:v>25.636254609587965</c:v>
                </c:pt>
                <c:pt idx="144">
                  <c:v>25.636254609587965</c:v>
                </c:pt>
                <c:pt idx="145">
                  <c:v>25.636254609587965</c:v>
                </c:pt>
                <c:pt idx="146">
                  <c:v>25.636254609587965</c:v>
                </c:pt>
                <c:pt idx="147">
                  <c:v>25.636254609587965</c:v>
                </c:pt>
                <c:pt idx="148">
                  <c:v>25.636254609587965</c:v>
                </c:pt>
                <c:pt idx="149">
                  <c:v>25.636254609587965</c:v>
                </c:pt>
                <c:pt idx="150">
                  <c:v>25.636254609587965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03-41A2-AA76-A193B345F407}"/>
            </c:ext>
          </c:extLst>
        </c:ser>
        <c:ser>
          <c:idx val="6"/>
          <c:order val="5"/>
          <c:tx>
            <c:strRef>
              <c:f>'Carta 0'!$BH$6</c:f>
              <c:strCache>
                <c:ptCount val="1"/>
                <c:pt idx="0">
                  <c:v>L.1S.S.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0'!$AZ$7:$AZ$157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0'!$BH$7:$BH$157</c:f>
              <c:numCache>
                <c:formatCode>0.000</c:formatCode>
                <c:ptCount val="151"/>
                <c:pt idx="0">
                  <c:v>25.808072695206025</c:v>
                </c:pt>
                <c:pt idx="1">
                  <c:v>25.808072695206025</c:v>
                </c:pt>
                <c:pt idx="2">
                  <c:v>25.808072695206025</c:v>
                </c:pt>
                <c:pt idx="3">
                  <c:v>25.808072695206025</c:v>
                </c:pt>
                <c:pt idx="4">
                  <c:v>25.808072695206025</c:v>
                </c:pt>
                <c:pt idx="5">
                  <c:v>25.808072695206025</c:v>
                </c:pt>
                <c:pt idx="6">
                  <c:v>25.808072695206025</c:v>
                </c:pt>
                <c:pt idx="7">
                  <c:v>25.808072695206025</c:v>
                </c:pt>
                <c:pt idx="8">
                  <c:v>25.808072695206025</c:v>
                </c:pt>
                <c:pt idx="9">
                  <c:v>25.808072695206025</c:v>
                </c:pt>
                <c:pt idx="10">
                  <c:v>25.808072695206025</c:v>
                </c:pt>
                <c:pt idx="11">
                  <c:v>25.808072695206025</c:v>
                </c:pt>
                <c:pt idx="12">
                  <c:v>25.808072695206025</c:v>
                </c:pt>
                <c:pt idx="13">
                  <c:v>25.808072695206025</c:v>
                </c:pt>
                <c:pt idx="14">
                  <c:v>25.808072695206025</c:v>
                </c:pt>
                <c:pt idx="15">
                  <c:v>25.808072695206025</c:v>
                </c:pt>
                <c:pt idx="16">
                  <c:v>25.808072695206025</c:v>
                </c:pt>
                <c:pt idx="17">
                  <c:v>25.808072695206025</c:v>
                </c:pt>
                <c:pt idx="18">
                  <c:v>25.808072695206025</c:v>
                </c:pt>
                <c:pt idx="19">
                  <c:v>25.808072695206025</c:v>
                </c:pt>
                <c:pt idx="20">
                  <c:v>25.808072695206025</c:v>
                </c:pt>
                <c:pt idx="21">
                  <c:v>25.808072695206025</c:v>
                </c:pt>
                <c:pt idx="22">
                  <c:v>25.808072695206025</c:v>
                </c:pt>
                <c:pt idx="23">
                  <c:v>25.808072695206025</c:v>
                </c:pt>
                <c:pt idx="24">
                  <c:v>25.808072695206025</c:v>
                </c:pt>
                <c:pt idx="25">
                  <c:v>25.808072695206025</c:v>
                </c:pt>
                <c:pt idx="26">
                  <c:v>25.808072695206025</c:v>
                </c:pt>
                <c:pt idx="27">
                  <c:v>25.808072695206025</c:v>
                </c:pt>
                <c:pt idx="28">
                  <c:v>25.808072695206025</c:v>
                </c:pt>
                <c:pt idx="29">
                  <c:v>25.808072695206025</c:v>
                </c:pt>
                <c:pt idx="30">
                  <c:v>25.808072695206025</c:v>
                </c:pt>
                <c:pt idx="31">
                  <c:v>25.808072695206025</c:v>
                </c:pt>
                <c:pt idx="32">
                  <c:v>25.808072695206025</c:v>
                </c:pt>
                <c:pt idx="33">
                  <c:v>25.808072695206025</c:v>
                </c:pt>
                <c:pt idx="34">
                  <c:v>25.808072695206025</c:v>
                </c:pt>
                <c:pt idx="35">
                  <c:v>25.808072695206025</c:v>
                </c:pt>
                <c:pt idx="36">
                  <c:v>25.808072695206025</c:v>
                </c:pt>
                <c:pt idx="37">
                  <c:v>25.808072695206025</c:v>
                </c:pt>
                <c:pt idx="38">
                  <c:v>25.808072695206025</c:v>
                </c:pt>
                <c:pt idx="39">
                  <c:v>25.808072695206025</c:v>
                </c:pt>
                <c:pt idx="40">
                  <c:v>25.808072695206025</c:v>
                </c:pt>
                <c:pt idx="41">
                  <c:v>25.808072695206025</c:v>
                </c:pt>
                <c:pt idx="42">
                  <c:v>25.808072695206025</c:v>
                </c:pt>
                <c:pt idx="43">
                  <c:v>25.808072695206025</c:v>
                </c:pt>
                <c:pt idx="44">
                  <c:v>25.808072695206025</c:v>
                </c:pt>
                <c:pt idx="45">
                  <c:v>25.808072695206025</c:v>
                </c:pt>
                <c:pt idx="46">
                  <c:v>25.808072695206025</c:v>
                </c:pt>
                <c:pt idx="47">
                  <c:v>25.808072695206025</c:v>
                </c:pt>
                <c:pt idx="48">
                  <c:v>25.808072695206025</c:v>
                </c:pt>
                <c:pt idx="49">
                  <c:v>25.808072695206025</c:v>
                </c:pt>
                <c:pt idx="50">
                  <c:v>25.808072695206025</c:v>
                </c:pt>
                <c:pt idx="51">
                  <c:v>25.808072695206025</c:v>
                </c:pt>
                <c:pt idx="52">
                  <c:v>25.808072695206025</c:v>
                </c:pt>
                <c:pt idx="53">
                  <c:v>25.808072695206025</c:v>
                </c:pt>
                <c:pt idx="54">
                  <c:v>25.808072695206025</c:v>
                </c:pt>
                <c:pt idx="55">
                  <c:v>25.808072695206025</c:v>
                </c:pt>
                <c:pt idx="56">
                  <c:v>25.808072695206025</c:v>
                </c:pt>
                <c:pt idx="57">
                  <c:v>25.808072695206025</c:v>
                </c:pt>
                <c:pt idx="58">
                  <c:v>25.808072695206025</c:v>
                </c:pt>
                <c:pt idx="59">
                  <c:v>25.808072695206025</c:v>
                </c:pt>
                <c:pt idx="60">
                  <c:v>25.808072695206025</c:v>
                </c:pt>
                <c:pt idx="61">
                  <c:v>25.808072695206025</c:v>
                </c:pt>
                <c:pt idx="62">
                  <c:v>25.808072695206025</c:v>
                </c:pt>
                <c:pt idx="63">
                  <c:v>25.808072695206025</c:v>
                </c:pt>
                <c:pt idx="64">
                  <c:v>25.808072695206025</c:v>
                </c:pt>
                <c:pt idx="65">
                  <c:v>25.808072695206025</c:v>
                </c:pt>
                <c:pt idx="66">
                  <c:v>25.808072695206025</c:v>
                </c:pt>
                <c:pt idx="67">
                  <c:v>25.808072695206025</c:v>
                </c:pt>
                <c:pt idx="68">
                  <c:v>25.808072695206025</c:v>
                </c:pt>
                <c:pt idx="69">
                  <c:v>25.808072695206025</c:v>
                </c:pt>
                <c:pt idx="70">
                  <c:v>25.808072695206025</c:v>
                </c:pt>
                <c:pt idx="71">
                  <c:v>25.808072695206025</c:v>
                </c:pt>
                <c:pt idx="72">
                  <c:v>25.808072695206025</c:v>
                </c:pt>
                <c:pt idx="73">
                  <c:v>25.808072695206025</c:v>
                </c:pt>
                <c:pt idx="74">
                  <c:v>25.808072695206025</c:v>
                </c:pt>
                <c:pt idx="75">
                  <c:v>25.808072695206025</c:v>
                </c:pt>
                <c:pt idx="76">
                  <c:v>25.808072695206025</c:v>
                </c:pt>
                <c:pt idx="77">
                  <c:v>25.808072695206025</c:v>
                </c:pt>
                <c:pt idx="78">
                  <c:v>25.808072695206025</c:v>
                </c:pt>
                <c:pt idx="79">
                  <c:v>25.808072695206025</c:v>
                </c:pt>
                <c:pt idx="80">
                  <c:v>25.808072695206025</c:v>
                </c:pt>
                <c:pt idx="81">
                  <c:v>25.808072695206025</c:v>
                </c:pt>
                <c:pt idx="82">
                  <c:v>25.808072695206025</c:v>
                </c:pt>
                <c:pt idx="83">
                  <c:v>25.808072695206025</c:v>
                </c:pt>
                <c:pt idx="84">
                  <c:v>25.808072695206025</c:v>
                </c:pt>
                <c:pt idx="85">
                  <c:v>25.808072695206025</c:v>
                </c:pt>
                <c:pt idx="86">
                  <c:v>25.808072695206025</c:v>
                </c:pt>
                <c:pt idx="87">
                  <c:v>25.808072695206025</c:v>
                </c:pt>
                <c:pt idx="88">
                  <c:v>25.808072695206025</c:v>
                </c:pt>
                <c:pt idx="89">
                  <c:v>25.808072695206025</c:v>
                </c:pt>
                <c:pt idx="90">
                  <c:v>25.808072695206025</c:v>
                </c:pt>
                <c:pt idx="91">
                  <c:v>25.808072695206025</c:v>
                </c:pt>
                <c:pt idx="92">
                  <c:v>25.808072695206025</c:v>
                </c:pt>
                <c:pt idx="93">
                  <c:v>25.808072695206025</c:v>
                </c:pt>
                <c:pt idx="94">
                  <c:v>25.808072695206025</c:v>
                </c:pt>
                <c:pt idx="95">
                  <c:v>25.808072695206025</c:v>
                </c:pt>
                <c:pt idx="96">
                  <c:v>25.808072695206025</c:v>
                </c:pt>
                <c:pt idx="97">
                  <c:v>25.808072695206025</c:v>
                </c:pt>
                <c:pt idx="98">
                  <c:v>25.808072695206025</c:v>
                </c:pt>
                <c:pt idx="99">
                  <c:v>25.808072695206025</c:v>
                </c:pt>
                <c:pt idx="100">
                  <c:v>25.808072695206025</c:v>
                </c:pt>
                <c:pt idx="101">
                  <c:v>25.808072695206025</c:v>
                </c:pt>
                <c:pt idx="102">
                  <c:v>25.808072695206025</c:v>
                </c:pt>
                <c:pt idx="103">
                  <c:v>25.808072695206025</c:v>
                </c:pt>
                <c:pt idx="104">
                  <c:v>25.808072695206025</c:v>
                </c:pt>
                <c:pt idx="105">
                  <c:v>25.808072695206025</c:v>
                </c:pt>
                <c:pt idx="106">
                  <c:v>25.808072695206025</c:v>
                </c:pt>
                <c:pt idx="107">
                  <c:v>25.808072695206025</c:v>
                </c:pt>
                <c:pt idx="108">
                  <c:v>25.808072695206025</c:v>
                </c:pt>
                <c:pt idx="109">
                  <c:v>25.808072695206025</c:v>
                </c:pt>
                <c:pt idx="110">
                  <c:v>25.808072695206025</c:v>
                </c:pt>
                <c:pt idx="111">
                  <c:v>25.808072695206025</c:v>
                </c:pt>
                <c:pt idx="112">
                  <c:v>25.808072695206025</c:v>
                </c:pt>
                <c:pt idx="113">
                  <c:v>25.808072695206025</c:v>
                </c:pt>
                <c:pt idx="114">
                  <c:v>25.808072695206025</c:v>
                </c:pt>
                <c:pt idx="115">
                  <c:v>25.808072695206025</c:v>
                </c:pt>
                <c:pt idx="116">
                  <c:v>25.808072695206025</c:v>
                </c:pt>
                <c:pt idx="117">
                  <c:v>25.808072695206025</c:v>
                </c:pt>
                <c:pt idx="118">
                  <c:v>25.808072695206025</c:v>
                </c:pt>
                <c:pt idx="119">
                  <c:v>25.808072695206025</c:v>
                </c:pt>
                <c:pt idx="120">
                  <c:v>25.808072695206025</c:v>
                </c:pt>
                <c:pt idx="121">
                  <c:v>25.808072695206025</c:v>
                </c:pt>
                <c:pt idx="122">
                  <c:v>25.808072695206025</c:v>
                </c:pt>
                <c:pt idx="123">
                  <c:v>25.808072695206025</c:v>
                </c:pt>
                <c:pt idx="124">
                  <c:v>25.808072695206025</c:v>
                </c:pt>
                <c:pt idx="125">
                  <c:v>25.808072695206025</c:v>
                </c:pt>
                <c:pt idx="126">
                  <c:v>25.808072695206025</c:v>
                </c:pt>
                <c:pt idx="127">
                  <c:v>25.808072695206025</c:v>
                </c:pt>
                <c:pt idx="128">
                  <c:v>25.808072695206025</c:v>
                </c:pt>
                <c:pt idx="129">
                  <c:v>25.808072695206025</c:v>
                </c:pt>
                <c:pt idx="130">
                  <c:v>25.808072695206025</c:v>
                </c:pt>
                <c:pt idx="131">
                  <c:v>25.808072695206025</c:v>
                </c:pt>
                <c:pt idx="132">
                  <c:v>25.808072695206025</c:v>
                </c:pt>
                <c:pt idx="133">
                  <c:v>25.808072695206025</c:v>
                </c:pt>
                <c:pt idx="134">
                  <c:v>25.808072695206025</c:v>
                </c:pt>
                <c:pt idx="135">
                  <c:v>25.808072695206025</c:v>
                </c:pt>
                <c:pt idx="136">
                  <c:v>25.808072695206025</c:v>
                </c:pt>
                <c:pt idx="137">
                  <c:v>25.808072695206025</c:v>
                </c:pt>
                <c:pt idx="138">
                  <c:v>25.808072695206025</c:v>
                </c:pt>
                <c:pt idx="139">
                  <c:v>25.808072695206025</c:v>
                </c:pt>
                <c:pt idx="140">
                  <c:v>25.808072695206025</c:v>
                </c:pt>
                <c:pt idx="141">
                  <c:v>25.808072695206025</c:v>
                </c:pt>
                <c:pt idx="142">
                  <c:v>25.808072695206025</c:v>
                </c:pt>
                <c:pt idx="143">
                  <c:v>25.808072695206025</c:v>
                </c:pt>
                <c:pt idx="144">
                  <c:v>25.808072695206025</c:v>
                </c:pt>
                <c:pt idx="145">
                  <c:v>25.808072695206025</c:v>
                </c:pt>
                <c:pt idx="146">
                  <c:v>25.808072695206025</c:v>
                </c:pt>
                <c:pt idx="147">
                  <c:v>25.808072695206025</c:v>
                </c:pt>
                <c:pt idx="148">
                  <c:v>25.808072695206025</c:v>
                </c:pt>
                <c:pt idx="149">
                  <c:v>25.808072695206025</c:v>
                </c:pt>
                <c:pt idx="150">
                  <c:v>25.808072695206025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203-41A2-AA76-A193B345F407}"/>
            </c:ext>
          </c:extLst>
        </c:ser>
        <c:ser>
          <c:idx val="7"/>
          <c:order val="6"/>
          <c:tx>
            <c:strRef>
              <c:f>'Carta 0'!$BI$6</c:f>
              <c:strCache>
                <c:ptCount val="1"/>
                <c:pt idx="0">
                  <c:v>L.1S.I.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'Carta 0'!$AZ$7:$AZ$157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0'!$BI$7:$BI$157</c:f>
              <c:numCache>
                <c:formatCode>0.000</c:formatCode>
                <c:ptCount val="151"/>
                <c:pt idx="0">
                  <c:v>25.693527304793985</c:v>
                </c:pt>
                <c:pt idx="1">
                  <c:v>25.693527304793985</c:v>
                </c:pt>
                <c:pt idx="2">
                  <c:v>25.693527304793985</c:v>
                </c:pt>
                <c:pt idx="3">
                  <c:v>25.693527304793985</c:v>
                </c:pt>
                <c:pt idx="4">
                  <c:v>25.693527304793985</c:v>
                </c:pt>
                <c:pt idx="5">
                  <c:v>25.693527304793985</c:v>
                </c:pt>
                <c:pt idx="6">
                  <c:v>25.693527304793985</c:v>
                </c:pt>
                <c:pt idx="7">
                  <c:v>25.693527304793985</c:v>
                </c:pt>
                <c:pt idx="8">
                  <c:v>25.693527304793985</c:v>
                </c:pt>
                <c:pt idx="9">
                  <c:v>25.693527304793985</c:v>
                </c:pt>
                <c:pt idx="10">
                  <c:v>25.693527304793985</c:v>
                </c:pt>
                <c:pt idx="11">
                  <c:v>25.693527304793985</c:v>
                </c:pt>
                <c:pt idx="12">
                  <c:v>25.693527304793985</c:v>
                </c:pt>
                <c:pt idx="13">
                  <c:v>25.693527304793985</c:v>
                </c:pt>
                <c:pt idx="14">
                  <c:v>25.693527304793985</c:v>
                </c:pt>
                <c:pt idx="15">
                  <c:v>25.693527304793985</c:v>
                </c:pt>
                <c:pt idx="16">
                  <c:v>25.693527304793985</c:v>
                </c:pt>
                <c:pt idx="17">
                  <c:v>25.693527304793985</c:v>
                </c:pt>
                <c:pt idx="18">
                  <c:v>25.693527304793985</c:v>
                </c:pt>
                <c:pt idx="19">
                  <c:v>25.693527304793985</c:v>
                </c:pt>
                <c:pt idx="20">
                  <c:v>25.693527304793985</c:v>
                </c:pt>
                <c:pt idx="21">
                  <c:v>25.693527304793985</c:v>
                </c:pt>
                <c:pt idx="22">
                  <c:v>25.693527304793985</c:v>
                </c:pt>
                <c:pt idx="23">
                  <c:v>25.693527304793985</c:v>
                </c:pt>
                <c:pt idx="24">
                  <c:v>25.693527304793985</c:v>
                </c:pt>
                <c:pt idx="25">
                  <c:v>25.693527304793985</c:v>
                </c:pt>
                <c:pt idx="26">
                  <c:v>25.693527304793985</c:v>
                </c:pt>
                <c:pt idx="27">
                  <c:v>25.693527304793985</c:v>
                </c:pt>
                <c:pt idx="28">
                  <c:v>25.693527304793985</c:v>
                </c:pt>
                <c:pt idx="29">
                  <c:v>25.693527304793985</c:v>
                </c:pt>
                <c:pt idx="30">
                  <c:v>25.693527304793985</c:v>
                </c:pt>
                <c:pt idx="31">
                  <c:v>25.693527304793985</c:v>
                </c:pt>
                <c:pt idx="32">
                  <c:v>25.693527304793985</c:v>
                </c:pt>
                <c:pt idx="33">
                  <c:v>25.693527304793985</c:v>
                </c:pt>
                <c:pt idx="34">
                  <c:v>25.693527304793985</c:v>
                </c:pt>
                <c:pt idx="35">
                  <c:v>25.693527304793985</c:v>
                </c:pt>
                <c:pt idx="36">
                  <c:v>25.693527304793985</c:v>
                </c:pt>
                <c:pt idx="37">
                  <c:v>25.693527304793985</c:v>
                </c:pt>
                <c:pt idx="38">
                  <c:v>25.693527304793985</c:v>
                </c:pt>
                <c:pt idx="39">
                  <c:v>25.693527304793985</c:v>
                </c:pt>
                <c:pt idx="40">
                  <c:v>25.693527304793985</c:v>
                </c:pt>
                <c:pt idx="41">
                  <c:v>25.693527304793985</c:v>
                </c:pt>
                <c:pt idx="42">
                  <c:v>25.693527304793985</c:v>
                </c:pt>
                <c:pt idx="43">
                  <c:v>25.693527304793985</c:v>
                </c:pt>
                <c:pt idx="44">
                  <c:v>25.693527304793985</c:v>
                </c:pt>
                <c:pt idx="45">
                  <c:v>25.693527304793985</c:v>
                </c:pt>
                <c:pt idx="46">
                  <c:v>25.693527304793985</c:v>
                </c:pt>
                <c:pt idx="47">
                  <c:v>25.693527304793985</c:v>
                </c:pt>
                <c:pt idx="48">
                  <c:v>25.693527304793985</c:v>
                </c:pt>
                <c:pt idx="49">
                  <c:v>25.693527304793985</c:v>
                </c:pt>
                <c:pt idx="50">
                  <c:v>25.693527304793985</c:v>
                </c:pt>
                <c:pt idx="51">
                  <c:v>25.693527304793985</c:v>
                </c:pt>
                <c:pt idx="52">
                  <c:v>25.693527304793985</c:v>
                </c:pt>
                <c:pt idx="53">
                  <c:v>25.693527304793985</c:v>
                </c:pt>
                <c:pt idx="54">
                  <c:v>25.693527304793985</c:v>
                </c:pt>
                <c:pt idx="55">
                  <c:v>25.693527304793985</c:v>
                </c:pt>
                <c:pt idx="56">
                  <c:v>25.693527304793985</c:v>
                </c:pt>
                <c:pt idx="57">
                  <c:v>25.693527304793985</c:v>
                </c:pt>
                <c:pt idx="58">
                  <c:v>25.693527304793985</c:v>
                </c:pt>
                <c:pt idx="59">
                  <c:v>25.693527304793985</c:v>
                </c:pt>
                <c:pt idx="60">
                  <c:v>25.693527304793985</c:v>
                </c:pt>
                <c:pt idx="61">
                  <c:v>25.693527304793985</c:v>
                </c:pt>
                <c:pt idx="62">
                  <c:v>25.693527304793985</c:v>
                </c:pt>
                <c:pt idx="63">
                  <c:v>25.693527304793985</c:v>
                </c:pt>
                <c:pt idx="64">
                  <c:v>25.693527304793985</c:v>
                </c:pt>
                <c:pt idx="65">
                  <c:v>25.693527304793985</c:v>
                </c:pt>
                <c:pt idx="66">
                  <c:v>25.693527304793985</c:v>
                </c:pt>
                <c:pt idx="67">
                  <c:v>25.693527304793985</c:v>
                </c:pt>
                <c:pt idx="68">
                  <c:v>25.693527304793985</c:v>
                </c:pt>
                <c:pt idx="69">
                  <c:v>25.693527304793985</c:v>
                </c:pt>
                <c:pt idx="70">
                  <c:v>25.693527304793985</c:v>
                </c:pt>
                <c:pt idx="71">
                  <c:v>25.693527304793985</c:v>
                </c:pt>
                <c:pt idx="72">
                  <c:v>25.693527304793985</c:v>
                </c:pt>
                <c:pt idx="73">
                  <c:v>25.693527304793985</c:v>
                </c:pt>
                <c:pt idx="74">
                  <c:v>25.693527304793985</c:v>
                </c:pt>
                <c:pt idx="75">
                  <c:v>25.693527304793985</c:v>
                </c:pt>
                <c:pt idx="76">
                  <c:v>25.693527304793985</c:v>
                </c:pt>
                <c:pt idx="77">
                  <c:v>25.693527304793985</c:v>
                </c:pt>
                <c:pt idx="78">
                  <c:v>25.693527304793985</c:v>
                </c:pt>
                <c:pt idx="79">
                  <c:v>25.693527304793985</c:v>
                </c:pt>
                <c:pt idx="80">
                  <c:v>25.693527304793985</c:v>
                </c:pt>
                <c:pt idx="81">
                  <c:v>25.693527304793985</c:v>
                </c:pt>
                <c:pt idx="82">
                  <c:v>25.693527304793985</c:v>
                </c:pt>
                <c:pt idx="83">
                  <c:v>25.693527304793985</c:v>
                </c:pt>
                <c:pt idx="84">
                  <c:v>25.693527304793985</c:v>
                </c:pt>
                <c:pt idx="85">
                  <c:v>25.693527304793985</c:v>
                </c:pt>
                <c:pt idx="86">
                  <c:v>25.693527304793985</c:v>
                </c:pt>
                <c:pt idx="87">
                  <c:v>25.693527304793985</c:v>
                </c:pt>
                <c:pt idx="88">
                  <c:v>25.693527304793985</c:v>
                </c:pt>
                <c:pt idx="89">
                  <c:v>25.693527304793985</c:v>
                </c:pt>
                <c:pt idx="90">
                  <c:v>25.693527304793985</c:v>
                </c:pt>
                <c:pt idx="91">
                  <c:v>25.693527304793985</c:v>
                </c:pt>
                <c:pt idx="92">
                  <c:v>25.693527304793985</c:v>
                </c:pt>
                <c:pt idx="93">
                  <c:v>25.693527304793985</c:v>
                </c:pt>
                <c:pt idx="94">
                  <c:v>25.693527304793985</c:v>
                </c:pt>
                <c:pt idx="95">
                  <c:v>25.693527304793985</c:v>
                </c:pt>
                <c:pt idx="96">
                  <c:v>25.693527304793985</c:v>
                </c:pt>
                <c:pt idx="97">
                  <c:v>25.693527304793985</c:v>
                </c:pt>
                <c:pt idx="98">
                  <c:v>25.693527304793985</c:v>
                </c:pt>
                <c:pt idx="99">
                  <c:v>25.693527304793985</c:v>
                </c:pt>
                <c:pt idx="100">
                  <c:v>25.693527304793985</c:v>
                </c:pt>
                <c:pt idx="101">
                  <c:v>25.693527304793985</c:v>
                </c:pt>
                <c:pt idx="102">
                  <c:v>25.693527304793985</c:v>
                </c:pt>
                <c:pt idx="103">
                  <c:v>25.693527304793985</c:v>
                </c:pt>
                <c:pt idx="104">
                  <c:v>25.693527304793985</c:v>
                </c:pt>
                <c:pt idx="105">
                  <c:v>25.693527304793985</c:v>
                </c:pt>
                <c:pt idx="106">
                  <c:v>25.693527304793985</c:v>
                </c:pt>
                <c:pt idx="107">
                  <c:v>25.693527304793985</c:v>
                </c:pt>
                <c:pt idx="108">
                  <c:v>25.693527304793985</c:v>
                </c:pt>
                <c:pt idx="109">
                  <c:v>25.693527304793985</c:v>
                </c:pt>
                <c:pt idx="110">
                  <c:v>25.693527304793985</c:v>
                </c:pt>
                <c:pt idx="111">
                  <c:v>25.693527304793985</c:v>
                </c:pt>
                <c:pt idx="112">
                  <c:v>25.693527304793985</c:v>
                </c:pt>
                <c:pt idx="113">
                  <c:v>25.693527304793985</c:v>
                </c:pt>
                <c:pt idx="114">
                  <c:v>25.693527304793985</c:v>
                </c:pt>
                <c:pt idx="115">
                  <c:v>25.693527304793985</c:v>
                </c:pt>
                <c:pt idx="116">
                  <c:v>25.693527304793985</c:v>
                </c:pt>
                <c:pt idx="117">
                  <c:v>25.693527304793985</c:v>
                </c:pt>
                <c:pt idx="118">
                  <c:v>25.693527304793985</c:v>
                </c:pt>
                <c:pt idx="119">
                  <c:v>25.693527304793985</c:v>
                </c:pt>
                <c:pt idx="120">
                  <c:v>25.693527304793985</c:v>
                </c:pt>
                <c:pt idx="121">
                  <c:v>25.693527304793985</c:v>
                </c:pt>
                <c:pt idx="122">
                  <c:v>25.693527304793985</c:v>
                </c:pt>
                <c:pt idx="123">
                  <c:v>25.693527304793985</c:v>
                </c:pt>
                <c:pt idx="124">
                  <c:v>25.693527304793985</c:v>
                </c:pt>
                <c:pt idx="125">
                  <c:v>25.693527304793985</c:v>
                </c:pt>
                <c:pt idx="126">
                  <c:v>25.693527304793985</c:v>
                </c:pt>
                <c:pt idx="127">
                  <c:v>25.693527304793985</c:v>
                </c:pt>
                <c:pt idx="128">
                  <c:v>25.693527304793985</c:v>
                </c:pt>
                <c:pt idx="129">
                  <c:v>25.693527304793985</c:v>
                </c:pt>
                <c:pt idx="130">
                  <c:v>25.693527304793985</c:v>
                </c:pt>
                <c:pt idx="131">
                  <c:v>25.693527304793985</c:v>
                </c:pt>
                <c:pt idx="132">
                  <c:v>25.693527304793985</c:v>
                </c:pt>
                <c:pt idx="133">
                  <c:v>25.693527304793985</c:v>
                </c:pt>
                <c:pt idx="134">
                  <c:v>25.693527304793985</c:v>
                </c:pt>
                <c:pt idx="135">
                  <c:v>25.693527304793985</c:v>
                </c:pt>
                <c:pt idx="136">
                  <c:v>25.693527304793985</c:v>
                </c:pt>
                <c:pt idx="137">
                  <c:v>25.693527304793985</c:v>
                </c:pt>
                <c:pt idx="138">
                  <c:v>25.693527304793985</c:v>
                </c:pt>
                <c:pt idx="139">
                  <c:v>25.693527304793985</c:v>
                </c:pt>
                <c:pt idx="140">
                  <c:v>25.693527304793985</c:v>
                </c:pt>
                <c:pt idx="141">
                  <c:v>25.693527304793985</c:v>
                </c:pt>
                <c:pt idx="142">
                  <c:v>25.693527304793985</c:v>
                </c:pt>
                <c:pt idx="143">
                  <c:v>25.693527304793985</c:v>
                </c:pt>
                <c:pt idx="144">
                  <c:v>25.693527304793985</c:v>
                </c:pt>
                <c:pt idx="145">
                  <c:v>25.693527304793985</c:v>
                </c:pt>
                <c:pt idx="146">
                  <c:v>25.693527304793985</c:v>
                </c:pt>
                <c:pt idx="147">
                  <c:v>25.693527304793985</c:v>
                </c:pt>
                <c:pt idx="148">
                  <c:v>25.693527304793985</c:v>
                </c:pt>
                <c:pt idx="149">
                  <c:v>25.693527304793985</c:v>
                </c:pt>
                <c:pt idx="150">
                  <c:v>25.693527304793985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03-41A2-AA76-A193B345F407}"/>
            </c:ext>
          </c:extLst>
        </c:ser>
        <c:ser>
          <c:idx val="0"/>
          <c:order val="7"/>
          <c:tx>
            <c:strRef>
              <c:f>'Carta 0'!$BA$6</c:f>
              <c:strCache>
                <c:ptCount val="1"/>
                <c:pt idx="0">
                  <c:v>Capilar 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2D86"/>
                </a:solidFill>
              </a:ln>
              <a:effectLst/>
            </c:spPr>
          </c:marker>
          <c:xVal>
            <c:numRef>
              <c:f>'Carta 0'!$AZ$7:$AZ$157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0'!$BA$8:$BA$157</c:f>
              <c:numCache>
                <c:formatCode>General</c:formatCode>
                <c:ptCount val="150"/>
                <c:pt idx="0">
                  <c:v>25.65</c:v>
                </c:pt>
                <c:pt idx="1">
                  <c:v>25.69</c:v>
                </c:pt>
                <c:pt idx="2">
                  <c:v>25.69</c:v>
                </c:pt>
                <c:pt idx="3">
                  <c:v>25.71</c:v>
                </c:pt>
                <c:pt idx="4">
                  <c:v>25.66</c:v>
                </c:pt>
                <c:pt idx="5">
                  <c:v>25.67</c:v>
                </c:pt>
                <c:pt idx="6">
                  <c:v>25.66</c:v>
                </c:pt>
                <c:pt idx="7">
                  <c:v>25.67</c:v>
                </c:pt>
                <c:pt idx="8">
                  <c:v>25.7</c:v>
                </c:pt>
                <c:pt idx="9">
                  <c:v>25.63</c:v>
                </c:pt>
                <c:pt idx="10">
                  <c:v>25.7</c:v>
                </c:pt>
                <c:pt idx="11">
                  <c:v>25.7</c:v>
                </c:pt>
                <c:pt idx="12">
                  <c:v>25.77</c:v>
                </c:pt>
                <c:pt idx="13">
                  <c:v>25.72</c:v>
                </c:pt>
                <c:pt idx="14">
                  <c:v>25.73</c:v>
                </c:pt>
                <c:pt idx="15">
                  <c:v>25.74</c:v>
                </c:pt>
                <c:pt idx="16">
                  <c:v>25.64</c:v>
                </c:pt>
                <c:pt idx="17">
                  <c:v>25.69</c:v>
                </c:pt>
                <c:pt idx="18">
                  <c:v>25.68</c:v>
                </c:pt>
                <c:pt idx="19">
                  <c:v>25.73</c:v>
                </c:pt>
                <c:pt idx="20">
                  <c:v>25.75</c:v>
                </c:pt>
                <c:pt idx="21">
                  <c:v>25.73</c:v>
                </c:pt>
                <c:pt idx="22">
                  <c:v>25.74</c:v>
                </c:pt>
                <c:pt idx="23">
                  <c:v>25.61</c:v>
                </c:pt>
                <c:pt idx="24">
                  <c:v>25.73</c:v>
                </c:pt>
                <c:pt idx="25">
                  <c:v>25.72</c:v>
                </c:pt>
                <c:pt idx="26">
                  <c:v>25.69</c:v>
                </c:pt>
                <c:pt idx="27">
                  <c:v>25.69</c:v>
                </c:pt>
                <c:pt idx="28">
                  <c:v>25.69</c:v>
                </c:pt>
                <c:pt idx="29">
                  <c:v>25.69</c:v>
                </c:pt>
                <c:pt idx="30">
                  <c:v>25.68</c:v>
                </c:pt>
                <c:pt idx="31">
                  <c:v>25.75</c:v>
                </c:pt>
                <c:pt idx="32">
                  <c:v>25.72</c:v>
                </c:pt>
                <c:pt idx="33">
                  <c:v>25.72</c:v>
                </c:pt>
                <c:pt idx="34">
                  <c:v>25.74</c:v>
                </c:pt>
                <c:pt idx="35">
                  <c:v>25.74</c:v>
                </c:pt>
                <c:pt idx="36">
                  <c:v>25.8</c:v>
                </c:pt>
                <c:pt idx="37">
                  <c:v>25.72</c:v>
                </c:pt>
                <c:pt idx="38">
                  <c:v>25.73</c:v>
                </c:pt>
                <c:pt idx="39">
                  <c:v>25.8</c:v>
                </c:pt>
                <c:pt idx="40">
                  <c:v>25.72</c:v>
                </c:pt>
                <c:pt idx="41">
                  <c:v>25.78</c:v>
                </c:pt>
                <c:pt idx="42">
                  <c:v>25.73</c:v>
                </c:pt>
                <c:pt idx="43">
                  <c:v>25.74</c:v>
                </c:pt>
                <c:pt idx="44">
                  <c:v>25.75</c:v>
                </c:pt>
                <c:pt idx="45">
                  <c:v>25.74</c:v>
                </c:pt>
                <c:pt idx="46">
                  <c:v>25.75</c:v>
                </c:pt>
                <c:pt idx="47">
                  <c:v>25.71</c:v>
                </c:pt>
                <c:pt idx="48">
                  <c:v>25.71</c:v>
                </c:pt>
                <c:pt idx="49">
                  <c:v>25.74</c:v>
                </c:pt>
                <c:pt idx="50">
                  <c:v>25.71</c:v>
                </c:pt>
                <c:pt idx="51">
                  <c:v>25.74</c:v>
                </c:pt>
                <c:pt idx="52">
                  <c:v>25.73</c:v>
                </c:pt>
                <c:pt idx="53">
                  <c:v>25.79</c:v>
                </c:pt>
                <c:pt idx="54">
                  <c:v>25.73</c:v>
                </c:pt>
                <c:pt idx="55">
                  <c:v>25.8</c:v>
                </c:pt>
                <c:pt idx="56">
                  <c:v>25.74</c:v>
                </c:pt>
                <c:pt idx="57">
                  <c:v>25.75</c:v>
                </c:pt>
                <c:pt idx="58">
                  <c:v>25.73</c:v>
                </c:pt>
                <c:pt idx="59">
                  <c:v>25.78</c:v>
                </c:pt>
                <c:pt idx="60">
                  <c:v>25.75</c:v>
                </c:pt>
                <c:pt idx="61">
                  <c:v>25.79</c:v>
                </c:pt>
                <c:pt idx="62">
                  <c:v>25.79</c:v>
                </c:pt>
                <c:pt idx="63">
                  <c:v>25.81</c:v>
                </c:pt>
                <c:pt idx="64">
                  <c:v>25.74</c:v>
                </c:pt>
                <c:pt idx="65">
                  <c:v>25.8</c:v>
                </c:pt>
                <c:pt idx="66">
                  <c:v>25.83</c:v>
                </c:pt>
                <c:pt idx="67">
                  <c:v>25.79</c:v>
                </c:pt>
                <c:pt idx="68">
                  <c:v>25.77</c:v>
                </c:pt>
                <c:pt idx="69">
                  <c:v>25.78</c:v>
                </c:pt>
                <c:pt idx="70">
                  <c:v>25.78</c:v>
                </c:pt>
                <c:pt idx="71">
                  <c:v>25.76</c:v>
                </c:pt>
                <c:pt idx="72">
                  <c:v>25.79</c:v>
                </c:pt>
                <c:pt idx="73">
                  <c:v>25.79</c:v>
                </c:pt>
                <c:pt idx="74">
                  <c:v>25.72</c:v>
                </c:pt>
                <c:pt idx="75">
                  <c:v>25.76</c:v>
                </c:pt>
                <c:pt idx="76">
                  <c:v>25.86</c:v>
                </c:pt>
                <c:pt idx="77">
                  <c:v>25.88</c:v>
                </c:pt>
                <c:pt idx="78">
                  <c:v>25.86</c:v>
                </c:pt>
                <c:pt idx="79">
                  <c:v>25.8</c:v>
                </c:pt>
                <c:pt idx="80">
                  <c:v>25.91</c:v>
                </c:pt>
                <c:pt idx="81">
                  <c:v>25.83</c:v>
                </c:pt>
                <c:pt idx="82">
                  <c:v>25.83</c:v>
                </c:pt>
                <c:pt idx="83">
                  <c:v>25.79</c:v>
                </c:pt>
                <c:pt idx="84">
                  <c:v>25.75</c:v>
                </c:pt>
                <c:pt idx="85">
                  <c:v>25.76</c:v>
                </c:pt>
                <c:pt idx="86">
                  <c:v>25.79</c:v>
                </c:pt>
                <c:pt idx="87">
                  <c:v>25.79</c:v>
                </c:pt>
                <c:pt idx="88">
                  <c:v>25.74</c:v>
                </c:pt>
                <c:pt idx="89">
                  <c:v>25.82</c:v>
                </c:pt>
                <c:pt idx="90">
                  <c:v>25.76</c:v>
                </c:pt>
                <c:pt idx="91">
                  <c:v>25.79</c:v>
                </c:pt>
                <c:pt idx="92">
                  <c:v>25.8</c:v>
                </c:pt>
                <c:pt idx="93">
                  <c:v>25.73</c:v>
                </c:pt>
                <c:pt idx="94">
                  <c:v>25.83</c:v>
                </c:pt>
                <c:pt idx="95">
                  <c:v>25.84</c:v>
                </c:pt>
                <c:pt idx="96">
                  <c:v>25.84</c:v>
                </c:pt>
                <c:pt idx="97">
                  <c:v>25.9</c:v>
                </c:pt>
                <c:pt idx="98">
                  <c:v>25.8</c:v>
                </c:pt>
                <c:pt idx="99">
                  <c:v>25.79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03-41A2-AA76-A193B345F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522431"/>
        <c:axId val="1059523871"/>
      </c:scatterChart>
      <c:valAx>
        <c:axId val="1059522431"/>
        <c:scaling>
          <c:orientation val="minMax"/>
          <c:max val="15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3871"/>
        <c:crosses val="autoZero"/>
        <c:crossBetween val="midCat"/>
        <c:majorUnit val="5"/>
        <c:minorUnit val="5"/>
      </c:valAx>
      <c:valAx>
        <c:axId val="105952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9522431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 4 -Rangos dinamicos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6.3187744821503786E-2"/>
          <c:y val="9.9910925925925931E-2"/>
          <c:w val="0.90342325019665171"/>
          <c:h val="0.8118467767617487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'Carta 0'!$BK$6</c:f>
              <c:strCache>
                <c:ptCount val="1"/>
                <c:pt idx="0">
                  <c:v>Promedio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0'!$BK$7:$BK$157</c:f>
              <c:numCache>
                <c:formatCode>0.00</c:formatCode>
                <c:ptCount val="151"/>
                <c:pt idx="0">
                  <c:v>3.6565656565656614E-2</c:v>
                </c:pt>
                <c:pt idx="1">
                  <c:v>3.6565656565656614E-2</c:v>
                </c:pt>
                <c:pt idx="2">
                  <c:v>3.6565656565656614E-2</c:v>
                </c:pt>
                <c:pt idx="3">
                  <c:v>3.6565656565656614E-2</c:v>
                </c:pt>
                <c:pt idx="4">
                  <c:v>3.6565656565656614E-2</c:v>
                </c:pt>
                <c:pt idx="5">
                  <c:v>3.6565656565656614E-2</c:v>
                </c:pt>
                <c:pt idx="6">
                  <c:v>3.6565656565656614E-2</c:v>
                </c:pt>
                <c:pt idx="7">
                  <c:v>3.6565656565656614E-2</c:v>
                </c:pt>
                <c:pt idx="8">
                  <c:v>3.6565656565656614E-2</c:v>
                </c:pt>
                <c:pt idx="9">
                  <c:v>3.6565656565656614E-2</c:v>
                </c:pt>
                <c:pt idx="10">
                  <c:v>3.6565656565656614E-2</c:v>
                </c:pt>
                <c:pt idx="11">
                  <c:v>3.6565656565656614E-2</c:v>
                </c:pt>
                <c:pt idx="12">
                  <c:v>3.6565656565656614E-2</c:v>
                </c:pt>
                <c:pt idx="13">
                  <c:v>3.6565656565656614E-2</c:v>
                </c:pt>
                <c:pt idx="14">
                  <c:v>3.6565656565656614E-2</c:v>
                </c:pt>
                <c:pt idx="15">
                  <c:v>3.6565656565656614E-2</c:v>
                </c:pt>
                <c:pt idx="16">
                  <c:v>3.6565656565656614E-2</c:v>
                </c:pt>
                <c:pt idx="17">
                  <c:v>3.6565656565656614E-2</c:v>
                </c:pt>
                <c:pt idx="18">
                  <c:v>3.6565656565656614E-2</c:v>
                </c:pt>
                <c:pt idx="19">
                  <c:v>3.6565656565656614E-2</c:v>
                </c:pt>
                <c:pt idx="20">
                  <c:v>3.6565656565656614E-2</c:v>
                </c:pt>
                <c:pt idx="21">
                  <c:v>3.6565656565656614E-2</c:v>
                </c:pt>
                <c:pt idx="22">
                  <c:v>3.6565656565656614E-2</c:v>
                </c:pt>
                <c:pt idx="23">
                  <c:v>3.6565656565656614E-2</c:v>
                </c:pt>
                <c:pt idx="24">
                  <c:v>3.6565656565656614E-2</c:v>
                </c:pt>
                <c:pt idx="25">
                  <c:v>3.6565656565656614E-2</c:v>
                </c:pt>
                <c:pt idx="26">
                  <c:v>3.6565656565656614E-2</c:v>
                </c:pt>
                <c:pt idx="27">
                  <c:v>3.6565656565656614E-2</c:v>
                </c:pt>
                <c:pt idx="28">
                  <c:v>3.6565656565656614E-2</c:v>
                </c:pt>
                <c:pt idx="29">
                  <c:v>3.6565656565656614E-2</c:v>
                </c:pt>
                <c:pt idx="30">
                  <c:v>3.6565656565656614E-2</c:v>
                </c:pt>
                <c:pt idx="31">
                  <c:v>3.6565656565656614E-2</c:v>
                </c:pt>
                <c:pt idx="32">
                  <c:v>3.6565656565656614E-2</c:v>
                </c:pt>
                <c:pt idx="33">
                  <c:v>3.6565656565656614E-2</c:v>
                </c:pt>
                <c:pt idx="34">
                  <c:v>3.6565656565656614E-2</c:v>
                </c:pt>
                <c:pt idx="35">
                  <c:v>3.6565656565656614E-2</c:v>
                </c:pt>
                <c:pt idx="36">
                  <c:v>3.6565656565656614E-2</c:v>
                </c:pt>
                <c:pt idx="37">
                  <c:v>3.6565656565656614E-2</c:v>
                </c:pt>
                <c:pt idx="38">
                  <c:v>3.6565656565656614E-2</c:v>
                </c:pt>
                <c:pt idx="39">
                  <c:v>3.6565656565656614E-2</c:v>
                </c:pt>
                <c:pt idx="40">
                  <c:v>3.6565656565656614E-2</c:v>
                </c:pt>
                <c:pt idx="41">
                  <c:v>3.6565656565656614E-2</c:v>
                </c:pt>
                <c:pt idx="42">
                  <c:v>3.6565656565656614E-2</c:v>
                </c:pt>
                <c:pt idx="43">
                  <c:v>3.6565656565656614E-2</c:v>
                </c:pt>
                <c:pt idx="44">
                  <c:v>3.6565656565656614E-2</c:v>
                </c:pt>
                <c:pt idx="45">
                  <c:v>3.6565656565656614E-2</c:v>
                </c:pt>
                <c:pt idx="46">
                  <c:v>3.6565656565656614E-2</c:v>
                </c:pt>
                <c:pt idx="47">
                  <c:v>3.6565656565656614E-2</c:v>
                </c:pt>
                <c:pt idx="48">
                  <c:v>3.6565656565656614E-2</c:v>
                </c:pt>
                <c:pt idx="49">
                  <c:v>3.6565656565656614E-2</c:v>
                </c:pt>
                <c:pt idx="50">
                  <c:v>3.6565656565656614E-2</c:v>
                </c:pt>
                <c:pt idx="51">
                  <c:v>3.6565656565656614E-2</c:v>
                </c:pt>
                <c:pt idx="52">
                  <c:v>3.6565656565656614E-2</c:v>
                </c:pt>
                <c:pt idx="53">
                  <c:v>3.6565656565656614E-2</c:v>
                </c:pt>
                <c:pt idx="54">
                  <c:v>3.6565656565656614E-2</c:v>
                </c:pt>
                <c:pt idx="55">
                  <c:v>3.6565656565656614E-2</c:v>
                </c:pt>
                <c:pt idx="56">
                  <c:v>3.6565656565656614E-2</c:v>
                </c:pt>
                <c:pt idx="57">
                  <c:v>3.6565656565656614E-2</c:v>
                </c:pt>
                <c:pt idx="58">
                  <c:v>3.6565656565656614E-2</c:v>
                </c:pt>
                <c:pt idx="59">
                  <c:v>3.6565656565656614E-2</c:v>
                </c:pt>
                <c:pt idx="60">
                  <c:v>3.6565656565656614E-2</c:v>
                </c:pt>
                <c:pt idx="61">
                  <c:v>3.6565656565656614E-2</c:v>
                </c:pt>
                <c:pt idx="62">
                  <c:v>3.6565656565656614E-2</c:v>
                </c:pt>
                <c:pt idx="63">
                  <c:v>3.6565656565656614E-2</c:v>
                </c:pt>
                <c:pt idx="64">
                  <c:v>3.6565656565656614E-2</c:v>
                </c:pt>
                <c:pt idx="65">
                  <c:v>3.6565656565656614E-2</c:v>
                </c:pt>
                <c:pt idx="66">
                  <c:v>3.6565656565656614E-2</c:v>
                </c:pt>
                <c:pt idx="67">
                  <c:v>3.6565656565656614E-2</c:v>
                </c:pt>
                <c:pt idx="68">
                  <c:v>3.6565656565656614E-2</c:v>
                </c:pt>
                <c:pt idx="69">
                  <c:v>3.6565656565656614E-2</c:v>
                </c:pt>
                <c:pt idx="70">
                  <c:v>3.6565656565656614E-2</c:v>
                </c:pt>
                <c:pt idx="71">
                  <c:v>3.6565656565656614E-2</c:v>
                </c:pt>
                <c:pt idx="72">
                  <c:v>3.6565656565656614E-2</c:v>
                </c:pt>
                <c:pt idx="73">
                  <c:v>3.6565656565656614E-2</c:v>
                </c:pt>
                <c:pt idx="74">
                  <c:v>3.6565656565656614E-2</c:v>
                </c:pt>
                <c:pt idx="75">
                  <c:v>3.6565656565656614E-2</c:v>
                </c:pt>
                <c:pt idx="76">
                  <c:v>3.6565656565656614E-2</c:v>
                </c:pt>
                <c:pt idx="77">
                  <c:v>3.6565656565656614E-2</c:v>
                </c:pt>
                <c:pt idx="78">
                  <c:v>3.6565656565656614E-2</c:v>
                </c:pt>
                <c:pt idx="79">
                  <c:v>3.6565656565656614E-2</c:v>
                </c:pt>
                <c:pt idx="80">
                  <c:v>3.6565656565656614E-2</c:v>
                </c:pt>
                <c:pt idx="81">
                  <c:v>3.6565656565656614E-2</c:v>
                </c:pt>
                <c:pt idx="82">
                  <c:v>3.6565656565656614E-2</c:v>
                </c:pt>
                <c:pt idx="83">
                  <c:v>3.6565656565656614E-2</c:v>
                </c:pt>
                <c:pt idx="84">
                  <c:v>3.6565656565656614E-2</c:v>
                </c:pt>
                <c:pt idx="85">
                  <c:v>3.6565656565656614E-2</c:v>
                </c:pt>
                <c:pt idx="86">
                  <c:v>3.6565656565656614E-2</c:v>
                </c:pt>
                <c:pt idx="87">
                  <c:v>3.6565656565656614E-2</c:v>
                </c:pt>
                <c:pt idx="88">
                  <c:v>3.6565656565656614E-2</c:v>
                </c:pt>
                <c:pt idx="89">
                  <c:v>3.6565656565656614E-2</c:v>
                </c:pt>
                <c:pt idx="90">
                  <c:v>3.6565656565656614E-2</c:v>
                </c:pt>
                <c:pt idx="91">
                  <c:v>3.6565656565656614E-2</c:v>
                </c:pt>
                <c:pt idx="92">
                  <c:v>3.6565656565656614E-2</c:v>
                </c:pt>
                <c:pt idx="93">
                  <c:v>3.6565656565656614E-2</c:v>
                </c:pt>
                <c:pt idx="94">
                  <c:v>3.6565656565656614E-2</c:v>
                </c:pt>
                <c:pt idx="95">
                  <c:v>3.6565656565656614E-2</c:v>
                </c:pt>
                <c:pt idx="96">
                  <c:v>3.6565656565656614E-2</c:v>
                </c:pt>
                <c:pt idx="97">
                  <c:v>3.6565656565656614E-2</c:v>
                </c:pt>
                <c:pt idx="98">
                  <c:v>3.6565656565656614E-2</c:v>
                </c:pt>
                <c:pt idx="99">
                  <c:v>3.6565656565656614E-2</c:v>
                </c:pt>
                <c:pt idx="100">
                  <c:v>3.6565656565656614E-2</c:v>
                </c:pt>
                <c:pt idx="101">
                  <c:v>3.6565656565656614E-2</c:v>
                </c:pt>
                <c:pt idx="102">
                  <c:v>3.6565656565656614E-2</c:v>
                </c:pt>
                <c:pt idx="103">
                  <c:v>3.6565656565656614E-2</c:v>
                </c:pt>
                <c:pt idx="104">
                  <c:v>3.6565656565656614E-2</c:v>
                </c:pt>
                <c:pt idx="105">
                  <c:v>3.6565656565656614E-2</c:v>
                </c:pt>
                <c:pt idx="106">
                  <c:v>3.6565656565656614E-2</c:v>
                </c:pt>
                <c:pt idx="107">
                  <c:v>3.6565656565656614E-2</c:v>
                </c:pt>
                <c:pt idx="108">
                  <c:v>3.6565656565656614E-2</c:v>
                </c:pt>
                <c:pt idx="109">
                  <c:v>3.6565656565656614E-2</c:v>
                </c:pt>
                <c:pt idx="110">
                  <c:v>3.6565656565656614E-2</c:v>
                </c:pt>
                <c:pt idx="111">
                  <c:v>3.6565656565656614E-2</c:v>
                </c:pt>
                <c:pt idx="112">
                  <c:v>3.6565656565656614E-2</c:v>
                </c:pt>
                <c:pt idx="113">
                  <c:v>3.6565656565656614E-2</c:v>
                </c:pt>
                <c:pt idx="114">
                  <c:v>3.6565656565656614E-2</c:v>
                </c:pt>
                <c:pt idx="115">
                  <c:v>3.6565656565656614E-2</c:v>
                </c:pt>
                <c:pt idx="116">
                  <c:v>3.6565656565656614E-2</c:v>
                </c:pt>
                <c:pt idx="117">
                  <c:v>3.6565656565656614E-2</c:v>
                </c:pt>
                <c:pt idx="118">
                  <c:v>3.6565656565656614E-2</c:v>
                </c:pt>
                <c:pt idx="119">
                  <c:v>3.6565656565656614E-2</c:v>
                </c:pt>
                <c:pt idx="120">
                  <c:v>3.6565656565656614E-2</c:v>
                </c:pt>
                <c:pt idx="121">
                  <c:v>3.6565656565656614E-2</c:v>
                </c:pt>
                <c:pt idx="122">
                  <c:v>3.6565656565656614E-2</c:v>
                </c:pt>
                <c:pt idx="123">
                  <c:v>3.6565656565656614E-2</c:v>
                </c:pt>
                <c:pt idx="124">
                  <c:v>3.6565656565656614E-2</c:v>
                </c:pt>
                <c:pt idx="125">
                  <c:v>3.6565656565656614E-2</c:v>
                </c:pt>
                <c:pt idx="126">
                  <c:v>3.6565656565656614E-2</c:v>
                </c:pt>
                <c:pt idx="127">
                  <c:v>3.6565656565656614E-2</c:v>
                </c:pt>
                <c:pt idx="128">
                  <c:v>3.6565656565656614E-2</c:v>
                </c:pt>
                <c:pt idx="129">
                  <c:v>3.6565656565656614E-2</c:v>
                </c:pt>
                <c:pt idx="130">
                  <c:v>3.6565656565656614E-2</c:v>
                </c:pt>
                <c:pt idx="131">
                  <c:v>3.6565656565656614E-2</c:v>
                </c:pt>
                <c:pt idx="132">
                  <c:v>3.6565656565656614E-2</c:v>
                </c:pt>
                <c:pt idx="133">
                  <c:v>3.6565656565656614E-2</c:v>
                </c:pt>
                <c:pt idx="134">
                  <c:v>3.6565656565656614E-2</c:v>
                </c:pt>
                <c:pt idx="135">
                  <c:v>3.6565656565656614E-2</c:v>
                </c:pt>
                <c:pt idx="136">
                  <c:v>3.6565656565656614E-2</c:v>
                </c:pt>
                <c:pt idx="137">
                  <c:v>3.6565656565656614E-2</c:v>
                </c:pt>
                <c:pt idx="138">
                  <c:v>3.6565656565656614E-2</c:v>
                </c:pt>
                <c:pt idx="139">
                  <c:v>3.6565656565656614E-2</c:v>
                </c:pt>
                <c:pt idx="140">
                  <c:v>3.6565656565656614E-2</c:v>
                </c:pt>
                <c:pt idx="141">
                  <c:v>3.6565656565656614E-2</c:v>
                </c:pt>
                <c:pt idx="142">
                  <c:v>3.6565656565656614E-2</c:v>
                </c:pt>
                <c:pt idx="143">
                  <c:v>3.6565656565656614E-2</c:v>
                </c:pt>
                <c:pt idx="144">
                  <c:v>3.6565656565656614E-2</c:v>
                </c:pt>
                <c:pt idx="145">
                  <c:v>3.6565656565656614E-2</c:v>
                </c:pt>
                <c:pt idx="146">
                  <c:v>3.6565656565656614E-2</c:v>
                </c:pt>
                <c:pt idx="147">
                  <c:v>3.6565656565656614E-2</c:v>
                </c:pt>
                <c:pt idx="148">
                  <c:v>3.6565656565656614E-2</c:v>
                </c:pt>
                <c:pt idx="149">
                  <c:v>3.6565656565656614E-2</c:v>
                </c:pt>
                <c:pt idx="150">
                  <c:v>3.6565656565656614E-2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6E-40EC-92A2-97E22B4A3F19}"/>
            </c:ext>
          </c:extLst>
        </c:ser>
        <c:ser>
          <c:idx val="2"/>
          <c:order val="1"/>
          <c:tx>
            <c:strRef>
              <c:f>'Carta 0'!$BL$6</c:f>
              <c:strCache>
                <c:ptCount val="1"/>
                <c:pt idx="0">
                  <c:v>LCI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0'!$BL$7:$BL$157</c:f>
              <c:numCache>
                <c:formatCode>General</c:formatCode>
                <c:ptCount val="151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  <c:pt idx="15" formatCode="0.00">
                  <c:v>0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  <c:pt idx="127" formatCode="0.00">
                  <c:v>0</c:v>
                </c:pt>
                <c:pt idx="128" formatCode="0.00">
                  <c:v>0</c:v>
                </c:pt>
                <c:pt idx="129" formatCode="0.00">
                  <c:v>0</c:v>
                </c:pt>
                <c:pt idx="130" formatCode="0.00">
                  <c:v>0</c:v>
                </c:pt>
                <c:pt idx="131" formatCode="0.00">
                  <c:v>0</c:v>
                </c:pt>
                <c:pt idx="132" formatCode="0.00">
                  <c:v>0</c:v>
                </c:pt>
                <c:pt idx="133" formatCode="0.00">
                  <c:v>0</c:v>
                </c:pt>
                <c:pt idx="134" formatCode="0.00">
                  <c:v>0</c:v>
                </c:pt>
                <c:pt idx="135" formatCode="0.00">
                  <c:v>0</c:v>
                </c:pt>
                <c:pt idx="136" formatCode="0.00">
                  <c:v>0</c:v>
                </c:pt>
                <c:pt idx="137" formatCode="0.00">
                  <c:v>0</c:v>
                </c:pt>
                <c:pt idx="138" formatCode="0.00">
                  <c:v>0</c:v>
                </c:pt>
                <c:pt idx="139" formatCode="0.00">
                  <c:v>0</c:v>
                </c:pt>
                <c:pt idx="140" formatCode="0.00">
                  <c:v>0</c:v>
                </c:pt>
                <c:pt idx="141" formatCode="0.00">
                  <c:v>0</c:v>
                </c:pt>
                <c:pt idx="142" formatCode="0.00">
                  <c:v>0</c:v>
                </c:pt>
                <c:pt idx="143" formatCode="0.00">
                  <c:v>0</c:v>
                </c:pt>
                <c:pt idx="144" formatCode="0.00">
                  <c:v>0</c:v>
                </c:pt>
                <c:pt idx="145" formatCode="0.00">
                  <c:v>0</c:v>
                </c:pt>
                <c:pt idx="146" formatCode="0.00">
                  <c:v>0</c:v>
                </c:pt>
                <c:pt idx="147" formatCode="0.00">
                  <c:v>0</c:v>
                </c:pt>
                <c:pt idx="148" formatCode="0.00">
                  <c:v>0</c:v>
                </c:pt>
                <c:pt idx="149" formatCode="0.00">
                  <c:v>0</c:v>
                </c:pt>
                <c:pt idx="15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6E-40EC-92A2-97E22B4A3F19}"/>
            </c:ext>
          </c:extLst>
        </c:ser>
        <c:ser>
          <c:idx val="3"/>
          <c:order val="2"/>
          <c:tx>
            <c:strRef>
              <c:f>'Carta 0'!$BM$6</c:f>
              <c:strCache>
                <c:ptCount val="1"/>
                <c:pt idx="0">
                  <c:v>LCS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0'!$AZ$7:$AZ$157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'Carta 0'!$BM$7:$BM$157</c:f>
              <c:numCache>
                <c:formatCode>0.00</c:formatCode>
                <c:ptCount val="151"/>
                <c:pt idx="0">
                  <c:v>0.11951850505050521</c:v>
                </c:pt>
                <c:pt idx="1">
                  <c:v>0.11951850505050521</c:v>
                </c:pt>
                <c:pt idx="2">
                  <c:v>0.11951850505050521</c:v>
                </c:pt>
                <c:pt idx="3">
                  <c:v>0.11951850505050521</c:v>
                </c:pt>
                <c:pt idx="4">
                  <c:v>0.11951850505050521</c:v>
                </c:pt>
                <c:pt idx="5">
                  <c:v>0.11951850505050521</c:v>
                </c:pt>
                <c:pt idx="6">
                  <c:v>0.11951850505050521</c:v>
                </c:pt>
                <c:pt idx="7">
                  <c:v>0.11951850505050521</c:v>
                </c:pt>
                <c:pt idx="8">
                  <c:v>0.11951850505050521</c:v>
                </c:pt>
                <c:pt idx="9">
                  <c:v>0.11951850505050521</c:v>
                </c:pt>
                <c:pt idx="10">
                  <c:v>0.11951850505050521</c:v>
                </c:pt>
                <c:pt idx="11">
                  <c:v>0.11951850505050521</c:v>
                </c:pt>
                <c:pt idx="12">
                  <c:v>0.11951850505050521</c:v>
                </c:pt>
                <c:pt idx="13">
                  <c:v>0.11951850505050521</c:v>
                </c:pt>
                <c:pt idx="14">
                  <c:v>0.11951850505050521</c:v>
                </c:pt>
                <c:pt idx="15">
                  <c:v>0.11951850505050521</c:v>
                </c:pt>
                <c:pt idx="16">
                  <c:v>0.11951850505050521</c:v>
                </c:pt>
                <c:pt idx="17">
                  <c:v>0.11951850505050521</c:v>
                </c:pt>
                <c:pt idx="18">
                  <c:v>0.11951850505050521</c:v>
                </c:pt>
                <c:pt idx="19">
                  <c:v>0.11951850505050521</c:v>
                </c:pt>
                <c:pt idx="20">
                  <c:v>0.11951850505050521</c:v>
                </c:pt>
                <c:pt idx="21">
                  <c:v>0.11951850505050521</c:v>
                </c:pt>
                <c:pt idx="22">
                  <c:v>0.11951850505050521</c:v>
                </c:pt>
                <c:pt idx="23">
                  <c:v>0.11951850505050521</c:v>
                </c:pt>
                <c:pt idx="24">
                  <c:v>0.11951850505050521</c:v>
                </c:pt>
                <c:pt idx="25">
                  <c:v>0.11951850505050521</c:v>
                </c:pt>
                <c:pt idx="26">
                  <c:v>0.11951850505050521</c:v>
                </c:pt>
                <c:pt idx="27">
                  <c:v>0.11951850505050521</c:v>
                </c:pt>
                <c:pt idx="28">
                  <c:v>0.11951850505050521</c:v>
                </c:pt>
                <c:pt idx="29">
                  <c:v>0.11951850505050521</c:v>
                </c:pt>
                <c:pt idx="30">
                  <c:v>0.11951850505050521</c:v>
                </c:pt>
                <c:pt idx="31">
                  <c:v>0.11951850505050521</c:v>
                </c:pt>
                <c:pt idx="32">
                  <c:v>0.11951850505050521</c:v>
                </c:pt>
                <c:pt idx="33">
                  <c:v>0.11951850505050521</c:v>
                </c:pt>
                <c:pt idx="34">
                  <c:v>0.11951850505050521</c:v>
                </c:pt>
                <c:pt idx="35">
                  <c:v>0.11951850505050521</c:v>
                </c:pt>
                <c:pt idx="36">
                  <c:v>0.11951850505050521</c:v>
                </c:pt>
                <c:pt idx="37">
                  <c:v>0.11951850505050521</c:v>
                </c:pt>
                <c:pt idx="38">
                  <c:v>0.11951850505050521</c:v>
                </c:pt>
                <c:pt idx="39">
                  <c:v>0.11951850505050521</c:v>
                </c:pt>
                <c:pt idx="40">
                  <c:v>0.11951850505050521</c:v>
                </c:pt>
                <c:pt idx="41">
                  <c:v>0.11951850505050521</c:v>
                </c:pt>
                <c:pt idx="42">
                  <c:v>0.11951850505050521</c:v>
                </c:pt>
                <c:pt idx="43">
                  <c:v>0.11951850505050521</c:v>
                </c:pt>
                <c:pt idx="44">
                  <c:v>0.11951850505050521</c:v>
                </c:pt>
                <c:pt idx="45">
                  <c:v>0.11951850505050521</c:v>
                </c:pt>
                <c:pt idx="46">
                  <c:v>0.11951850505050521</c:v>
                </c:pt>
                <c:pt idx="47">
                  <c:v>0.11951850505050521</c:v>
                </c:pt>
                <c:pt idx="48">
                  <c:v>0.11951850505050521</c:v>
                </c:pt>
                <c:pt idx="49">
                  <c:v>0.11951850505050521</c:v>
                </c:pt>
                <c:pt idx="50">
                  <c:v>0.11951850505050521</c:v>
                </c:pt>
                <c:pt idx="51">
                  <c:v>0.11951850505050521</c:v>
                </c:pt>
                <c:pt idx="52">
                  <c:v>0.11951850505050521</c:v>
                </c:pt>
                <c:pt idx="53">
                  <c:v>0.11951850505050521</c:v>
                </c:pt>
                <c:pt idx="54">
                  <c:v>0.11951850505050521</c:v>
                </c:pt>
                <c:pt idx="55">
                  <c:v>0.11951850505050521</c:v>
                </c:pt>
                <c:pt idx="56">
                  <c:v>0.11951850505050521</c:v>
                </c:pt>
                <c:pt idx="57">
                  <c:v>0.11951850505050521</c:v>
                </c:pt>
                <c:pt idx="58">
                  <c:v>0.11951850505050521</c:v>
                </c:pt>
                <c:pt idx="59">
                  <c:v>0.11951850505050521</c:v>
                </c:pt>
                <c:pt idx="60">
                  <c:v>0.11951850505050521</c:v>
                </c:pt>
                <c:pt idx="61">
                  <c:v>0.11951850505050521</c:v>
                </c:pt>
                <c:pt idx="62">
                  <c:v>0.11951850505050521</c:v>
                </c:pt>
                <c:pt idx="63">
                  <c:v>0.11951850505050521</c:v>
                </c:pt>
                <c:pt idx="64">
                  <c:v>0.11951850505050521</c:v>
                </c:pt>
                <c:pt idx="65">
                  <c:v>0.11951850505050521</c:v>
                </c:pt>
                <c:pt idx="66">
                  <c:v>0.11951850505050521</c:v>
                </c:pt>
                <c:pt idx="67">
                  <c:v>0.11951850505050521</c:v>
                </c:pt>
                <c:pt idx="68">
                  <c:v>0.11951850505050521</c:v>
                </c:pt>
                <c:pt idx="69">
                  <c:v>0.11951850505050521</c:v>
                </c:pt>
                <c:pt idx="70">
                  <c:v>0.11951850505050521</c:v>
                </c:pt>
                <c:pt idx="71">
                  <c:v>0.11951850505050521</c:v>
                </c:pt>
                <c:pt idx="72">
                  <c:v>0.11951850505050521</c:v>
                </c:pt>
                <c:pt idx="73">
                  <c:v>0.11951850505050521</c:v>
                </c:pt>
                <c:pt idx="74">
                  <c:v>0.11951850505050521</c:v>
                </c:pt>
                <c:pt idx="75">
                  <c:v>0.11951850505050521</c:v>
                </c:pt>
                <c:pt idx="76">
                  <c:v>0.11951850505050521</c:v>
                </c:pt>
                <c:pt idx="77">
                  <c:v>0.11951850505050521</c:v>
                </c:pt>
                <c:pt idx="78">
                  <c:v>0.11951850505050521</c:v>
                </c:pt>
                <c:pt idx="79">
                  <c:v>0.11951850505050521</c:v>
                </c:pt>
                <c:pt idx="80">
                  <c:v>0.11951850505050521</c:v>
                </c:pt>
                <c:pt idx="81">
                  <c:v>0.11951850505050521</c:v>
                </c:pt>
                <c:pt idx="82">
                  <c:v>0.11951850505050521</c:v>
                </c:pt>
                <c:pt idx="83">
                  <c:v>0.11951850505050521</c:v>
                </c:pt>
                <c:pt idx="84">
                  <c:v>0.11951850505050521</c:v>
                </c:pt>
                <c:pt idx="85">
                  <c:v>0.11951850505050521</c:v>
                </c:pt>
                <c:pt idx="86">
                  <c:v>0.11951850505050521</c:v>
                </c:pt>
                <c:pt idx="87">
                  <c:v>0.11951850505050521</c:v>
                </c:pt>
                <c:pt idx="88">
                  <c:v>0.11951850505050521</c:v>
                </c:pt>
                <c:pt idx="89">
                  <c:v>0.11951850505050521</c:v>
                </c:pt>
                <c:pt idx="90">
                  <c:v>0.11951850505050521</c:v>
                </c:pt>
                <c:pt idx="91">
                  <c:v>0.11951850505050521</c:v>
                </c:pt>
                <c:pt idx="92">
                  <c:v>0.11951850505050521</c:v>
                </c:pt>
                <c:pt idx="93">
                  <c:v>0.11951850505050521</c:v>
                </c:pt>
                <c:pt idx="94">
                  <c:v>0.11951850505050521</c:v>
                </c:pt>
                <c:pt idx="95">
                  <c:v>0.11951850505050521</c:v>
                </c:pt>
                <c:pt idx="96">
                  <c:v>0.11951850505050521</c:v>
                </c:pt>
                <c:pt idx="97">
                  <c:v>0.11951850505050521</c:v>
                </c:pt>
                <c:pt idx="98">
                  <c:v>0.11951850505050521</c:v>
                </c:pt>
                <c:pt idx="99">
                  <c:v>0.11951850505050521</c:v>
                </c:pt>
                <c:pt idx="100">
                  <c:v>0.11951850505050521</c:v>
                </c:pt>
                <c:pt idx="101">
                  <c:v>0.11951850505050521</c:v>
                </c:pt>
                <c:pt idx="102">
                  <c:v>0.11951850505050521</c:v>
                </c:pt>
                <c:pt idx="103">
                  <c:v>0.11951850505050521</c:v>
                </c:pt>
                <c:pt idx="104">
                  <c:v>0.11951850505050521</c:v>
                </c:pt>
                <c:pt idx="105">
                  <c:v>0.11951850505050521</c:v>
                </c:pt>
                <c:pt idx="106">
                  <c:v>0.11951850505050521</c:v>
                </c:pt>
                <c:pt idx="107">
                  <c:v>0.11951850505050521</c:v>
                </c:pt>
                <c:pt idx="108">
                  <c:v>0.11951850505050521</c:v>
                </c:pt>
                <c:pt idx="109">
                  <c:v>0.11951850505050521</c:v>
                </c:pt>
                <c:pt idx="110">
                  <c:v>0.11951850505050521</c:v>
                </c:pt>
                <c:pt idx="111">
                  <c:v>0.11951850505050521</c:v>
                </c:pt>
                <c:pt idx="112">
                  <c:v>0.11951850505050521</c:v>
                </c:pt>
                <c:pt idx="113">
                  <c:v>0.11951850505050521</c:v>
                </c:pt>
                <c:pt idx="114">
                  <c:v>0.11951850505050521</c:v>
                </c:pt>
                <c:pt idx="115">
                  <c:v>0.11951850505050521</c:v>
                </c:pt>
                <c:pt idx="116">
                  <c:v>0.11951850505050521</c:v>
                </c:pt>
                <c:pt idx="117">
                  <c:v>0.11951850505050521</c:v>
                </c:pt>
                <c:pt idx="118">
                  <c:v>0.11951850505050521</c:v>
                </c:pt>
                <c:pt idx="119">
                  <c:v>0.11951850505050521</c:v>
                </c:pt>
                <c:pt idx="120">
                  <c:v>0.11951850505050521</c:v>
                </c:pt>
                <c:pt idx="121">
                  <c:v>0.11951850505050521</c:v>
                </c:pt>
                <c:pt idx="122">
                  <c:v>0.11951850505050521</c:v>
                </c:pt>
                <c:pt idx="123">
                  <c:v>0.11951850505050521</c:v>
                </c:pt>
                <c:pt idx="124">
                  <c:v>0.11951850505050521</c:v>
                </c:pt>
                <c:pt idx="125">
                  <c:v>0.11951850505050521</c:v>
                </c:pt>
                <c:pt idx="126">
                  <c:v>0.11951850505050521</c:v>
                </c:pt>
                <c:pt idx="127">
                  <c:v>0.11951850505050521</c:v>
                </c:pt>
                <c:pt idx="128">
                  <c:v>0.11951850505050521</c:v>
                </c:pt>
                <c:pt idx="129">
                  <c:v>0.11951850505050521</c:v>
                </c:pt>
                <c:pt idx="130">
                  <c:v>0.11951850505050521</c:v>
                </c:pt>
                <c:pt idx="131">
                  <c:v>0.11951850505050521</c:v>
                </c:pt>
                <c:pt idx="132">
                  <c:v>0.11951850505050521</c:v>
                </c:pt>
                <c:pt idx="133">
                  <c:v>0.11951850505050521</c:v>
                </c:pt>
                <c:pt idx="134">
                  <c:v>0.11951850505050521</c:v>
                </c:pt>
                <c:pt idx="135">
                  <c:v>0.11951850505050521</c:v>
                </c:pt>
                <c:pt idx="136">
                  <c:v>0.11951850505050521</c:v>
                </c:pt>
                <c:pt idx="137">
                  <c:v>0.11951850505050521</c:v>
                </c:pt>
                <c:pt idx="138">
                  <c:v>0.11951850505050521</c:v>
                </c:pt>
                <c:pt idx="139">
                  <c:v>0.11951850505050521</c:v>
                </c:pt>
                <c:pt idx="140">
                  <c:v>0.11951850505050521</c:v>
                </c:pt>
                <c:pt idx="141">
                  <c:v>0.11951850505050521</c:v>
                </c:pt>
                <c:pt idx="142">
                  <c:v>0.11951850505050521</c:v>
                </c:pt>
                <c:pt idx="143">
                  <c:v>0.11951850505050521</c:v>
                </c:pt>
                <c:pt idx="144">
                  <c:v>0.11951850505050521</c:v>
                </c:pt>
                <c:pt idx="145">
                  <c:v>0.11951850505050521</c:v>
                </c:pt>
                <c:pt idx="146">
                  <c:v>0.11951850505050521</c:v>
                </c:pt>
                <c:pt idx="147">
                  <c:v>0.11951850505050521</c:v>
                </c:pt>
                <c:pt idx="148">
                  <c:v>0.11951850505050521</c:v>
                </c:pt>
                <c:pt idx="149">
                  <c:v>0.11951850505050521</c:v>
                </c:pt>
                <c:pt idx="150">
                  <c:v>0.11951850505050521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6E-40EC-92A2-97E22B4A3F19}"/>
            </c:ext>
          </c:extLst>
        </c:ser>
        <c:ser>
          <c:idx val="0"/>
          <c:order val="3"/>
          <c:tx>
            <c:strRef>
              <c:f>'Carta 0'!$BJ$6</c:f>
              <c:strCache>
                <c:ptCount val="1"/>
                <c:pt idx="0">
                  <c:v>rango movil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'Carta 0'!$AZ$7:$AZ$107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'Carta 0'!$BJ$9:$BJ$107</c:f>
              <c:numCache>
                <c:formatCode>General</c:formatCode>
                <c:ptCount val="99"/>
                <c:pt idx="0">
                  <c:v>4.00000000000027E-2</c:v>
                </c:pt>
                <c:pt idx="1">
                  <c:v>0</c:v>
                </c:pt>
                <c:pt idx="2">
                  <c:v>1.9999999999999574E-2</c:v>
                </c:pt>
                <c:pt idx="3">
                  <c:v>5.0000000000000711E-2</c:v>
                </c:pt>
                <c:pt idx="4">
                  <c:v>1.0000000000001563E-2</c:v>
                </c:pt>
                <c:pt idx="5">
                  <c:v>1.0000000000001563E-2</c:v>
                </c:pt>
                <c:pt idx="6">
                  <c:v>1.0000000000001563E-2</c:v>
                </c:pt>
                <c:pt idx="7">
                  <c:v>2.9999999999997584E-2</c:v>
                </c:pt>
                <c:pt idx="8">
                  <c:v>7.0000000000000284E-2</c:v>
                </c:pt>
                <c:pt idx="9">
                  <c:v>7.0000000000000284E-2</c:v>
                </c:pt>
                <c:pt idx="10">
                  <c:v>0</c:v>
                </c:pt>
                <c:pt idx="11">
                  <c:v>7.0000000000000284E-2</c:v>
                </c:pt>
                <c:pt idx="12">
                  <c:v>5.0000000000000711E-2</c:v>
                </c:pt>
                <c:pt idx="13">
                  <c:v>1.0000000000001563E-2</c:v>
                </c:pt>
                <c:pt idx="14">
                  <c:v>9.9999999999980105E-3</c:v>
                </c:pt>
                <c:pt idx="15">
                  <c:v>9.9999999999997868E-2</c:v>
                </c:pt>
                <c:pt idx="16">
                  <c:v>5.0000000000000711E-2</c:v>
                </c:pt>
                <c:pt idx="17">
                  <c:v>1.0000000000001563E-2</c:v>
                </c:pt>
                <c:pt idx="18">
                  <c:v>5.0000000000000711E-2</c:v>
                </c:pt>
                <c:pt idx="19">
                  <c:v>1.9999999999999574E-2</c:v>
                </c:pt>
                <c:pt idx="20">
                  <c:v>1.9999999999999574E-2</c:v>
                </c:pt>
                <c:pt idx="21">
                  <c:v>9.9999999999980105E-3</c:v>
                </c:pt>
                <c:pt idx="22">
                  <c:v>0.12999999999999901</c:v>
                </c:pt>
                <c:pt idx="23">
                  <c:v>0.12000000000000099</c:v>
                </c:pt>
                <c:pt idx="24">
                  <c:v>1.0000000000001563E-2</c:v>
                </c:pt>
                <c:pt idx="25">
                  <c:v>2.9999999999997584E-2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1.0000000000001563E-2</c:v>
                </c:pt>
                <c:pt idx="30">
                  <c:v>7.0000000000000284E-2</c:v>
                </c:pt>
                <c:pt idx="31">
                  <c:v>3.0000000000001137E-2</c:v>
                </c:pt>
                <c:pt idx="32">
                  <c:v>0</c:v>
                </c:pt>
                <c:pt idx="33">
                  <c:v>1.9999999999999574E-2</c:v>
                </c:pt>
                <c:pt idx="34">
                  <c:v>0</c:v>
                </c:pt>
                <c:pt idx="35">
                  <c:v>6.0000000000002274E-2</c:v>
                </c:pt>
                <c:pt idx="36">
                  <c:v>8.0000000000001847E-2</c:v>
                </c:pt>
                <c:pt idx="37">
                  <c:v>1.0000000000001563E-2</c:v>
                </c:pt>
                <c:pt idx="38">
                  <c:v>7.0000000000000284E-2</c:v>
                </c:pt>
                <c:pt idx="39">
                  <c:v>8.0000000000001847E-2</c:v>
                </c:pt>
                <c:pt idx="40">
                  <c:v>6.0000000000002274E-2</c:v>
                </c:pt>
                <c:pt idx="41">
                  <c:v>5.0000000000000711E-2</c:v>
                </c:pt>
                <c:pt idx="42">
                  <c:v>9.9999999999980105E-3</c:v>
                </c:pt>
                <c:pt idx="43">
                  <c:v>1.0000000000001563E-2</c:v>
                </c:pt>
                <c:pt idx="44">
                  <c:v>1.0000000000001563E-2</c:v>
                </c:pt>
                <c:pt idx="45">
                  <c:v>1.0000000000001563E-2</c:v>
                </c:pt>
                <c:pt idx="46">
                  <c:v>3.9999999999999147E-2</c:v>
                </c:pt>
                <c:pt idx="47">
                  <c:v>0</c:v>
                </c:pt>
                <c:pt idx="48">
                  <c:v>2.9999999999997584E-2</c:v>
                </c:pt>
                <c:pt idx="49">
                  <c:v>2.9999999999997584E-2</c:v>
                </c:pt>
                <c:pt idx="50">
                  <c:v>2.9999999999997584E-2</c:v>
                </c:pt>
                <c:pt idx="51">
                  <c:v>9.9999999999980105E-3</c:v>
                </c:pt>
                <c:pt idx="52">
                  <c:v>5.9999999999998721E-2</c:v>
                </c:pt>
                <c:pt idx="53">
                  <c:v>5.9999999999998721E-2</c:v>
                </c:pt>
                <c:pt idx="54">
                  <c:v>7.0000000000000284E-2</c:v>
                </c:pt>
                <c:pt idx="55">
                  <c:v>6.0000000000002274E-2</c:v>
                </c:pt>
                <c:pt idx="56">
                  <c:v>1.0000000000001563E-2</c:v>
                </c:pt>
                <c:pt idx="57">
                  <c:v>1.9999999999999574E-2</c:v>
                </c:pt>
                <c:pt idx="58">
                  <c:v>5.0000000000000711E-2</c:v>
                </c:pt>
                <c:pt idx="59">
                  <c:v>3.0000000000001137E-2</c:v>
                </c:pt>
                <c:pt idx="60">
                  <c:v>3.9999999999999147E-2</c:v>
                </c:pt>
                <c:pt idx="61">
                  <c:v>0</c:v>
                </c:pt>
                <c:pt idx="62">
                  <c:v>1.9999999999999574E-2</c:v>
                </c:pt>
                <c:pt idx="63">
                  <c:v>7.0000000000000284E-2</c:v>
                </c:pt>
                <c:pt idx="64">
                  <c:v>6.0000000000002274E-2</c:v>
                </c:pt>
                <c:pt idx="65">
                  <c:v>2.9999999999997584E-2</c:v>
                </c:pt>
                <c:pt idx="66">
                  <c:v>3.9999999999999147E-2</c:v>
                </c:pt>
                <c:pt idx="67">
                  <c:v>1.9999999999999574E-2</c:v>
                </c:pt>
                <c:pt idx="68">
                  <c:v>1.0000000000001563E-2</c:v>
                </c:pt>
                <c:pt idx="69">
                  <c:v>0</c:v>
                </c:pt>
                <c:pt idx="70">
                  <c:v>1.9999999999999574E-2</c:v>
                </c:pt>
                <c:pt idx="71">
                  <c:v>2.9999999999997584E-2</c:v>
                </c:pt>
                <c:pt idx="72">
                  <c:v>0</c:v>
                </c:pt>
                <c:pt idx="73">
                  <c:v>7.0000000000000284E-2</c:v>
                </c:pt>
                <c:pt idx="74">
                  <c:v>4.00000000000027E-2</c:v>
                </c:pt>
                <c:pt idx="75">
                  <c:v>9.9999999999997868E-2</c:v>
                </c:pt>
                <c:pt idx="76">
                  <c:v>1.9999999999999574E-2</c:v>
                </c:pt>
                <c:pt idx="77">
                  <c:v>1.9999999999999574E-2</c:v>
                </c:pt>
                <c:pt idx="78">
                  <c:v>5.9999999999998721E-2</c:v>
                </c:pt>
                <c:pt idx="79">
                  <c:v>0.10999999999999943</c:v>
                </c:pt>
                <c:pt idx="80">
                  <c:v>8.0000000000001847E-2</c:v>
                </c:pt>
                <c:pt idx="81">
                  <c:v>0</c:v>
                </c:pt>
                <c:pt idx="82">
                  <c:v>3.9999999999999147E-2</c:v>
                </c:pt>
                <c:pt idx="83">
                  <c:v>3.9999999999999147E-2</c:v>
                </c:pt>
                <c:pt idx="84">
                  <c:v>1.0000000000001563E-2</c:v>
                </c:pt>
                <c:pt idx="85">
                  <c:v>2.9999999999997584E-2</c:v>
                </c:pt>
                <c:pt idx="86">
                  <c:v>0</c:v>
                </c:pt>
                <c:pt idx="87">
                  <c:v>5.0000000000000711E-2</c:v>
                </c:pt>
                <c:pt idx="88">
                  <c:v>8.0000000000001847E-2</c:v>
                </c:pt>
                <c:pt idx="89">
                  <c:v>5.9999999999998721E-2</c:v>
                </c:pt>
                <c:pt idx="90">
                  <c:v>2.9999999999997584E-2</c:v>
                </c:pt>
                <c:pt idx="91">
                  <c:v>1.0000000000001563E-2</c:v>
                </c:pt>
                <c:pt idx="92">
                  <c:v>7.0000000000000284E-2</c:v>
                </c:pt>
                <c:pt idx="93">
                  <c:v>9.9999999999997868E-2</c:v>
                </c:pt>
                <c:pt idx="94">
                  <c:v>1.0000000000001563E-2</c:v>
                </c:pt>
                <c:pt idx="95">
                  <c:v>0</c:v>
                </c:pt>
                <c:pt idx="96">
                  <c:v>5.9999999999998721E-2</c:v>
                </c:pt>
                <c:pt idx="97">
                  <c:v>9.9999999999997868E-2</c:v>
                </c:pt>
                <c:pt idx="98">
                  <c:v>1.0000000000001563E-2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6E-40EC-92A2-97E22B4A3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432815"/>
        <c:axId val="1229439055"/>
      </c:scatterChart>
      <c:valAx>
        <c:axId val="1229432815"/>
        <c:scaling>
          <c:orientation val="minMax"/>
          <c:max val="15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9055"/>
        <c:crosses val="autoZero"/>
        <c:crossBetween val="midCat"/>
        <c:majorUnit val="5"/>
      </c:valAx>
      <c:valAx>
        <c:axId val="122943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Rangos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432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579120</xdr:colOff>
      <xdr:row>0</xdr:row>
      <xdr:rowOff>168011</xdr:rowOff>
    </xdr:from>
    <xdr:to>
      <xdr:col>1</xdr:col>
      <xdr:colOff>83820</xdr:colOff>
      <xdr:row>2</xdr:row>
      <xdr:rowOff>43049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5EE6E5E-0DC5-4CBD-AC52-7B0E215AD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168011"/>
          <a:ext cx="297180" cy="271278"/>
        </a:xfrm>
        <a:prstGeom prst="rect">
          <a:avLst/>
        </a:prstGeom>
      </xdr:spPr>
    </xdr:pic>
    <xdr:clientData/>
  </xdr:twoCellAnchor>
  <xdr:twoCellAnchor editAs="oneCell">
    <xdr:from>
      <xdr:col>9</xdr:col>
      <xdr:colOff>672465</xdr:colOff>
      <xdr:row>37</xdr:row>
      <xdr:rowOff>91440</xdr:rowOff>
    </xdr:from>
    <xdr:to>
      <xdr:col>14</xdr:col>
      <xdr:colOff>160501</xdr:colOff>
      <xdr:row>47</xdr:row>
      <xdr:rowOff>173632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E04C718-9F95-CC18-BEE9-45729BEE71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461"/>
        <a:stretch>
          <a:fillRect/>
        </a:stretch>
      </xdr:blipFill>
      <xdr:spPr>
        <a:xfrm>
          <a:off x="8082915" y="7844790"/>
          <a:ext cx="3440911" cy="1891942"/>
        </a:xfrm>
        <a:prstGeom prst="rect">
          <a:avLst/>
        </a:prstGeom>
      </xdr:spPr>
    </xdr:pic>
    <xdr:clientData/>
  </xdr:twoCellAnchor>
  <xdr:twoCellAnchor editAs="oneCell">
    <xdr:from>
      <xdr:col>9</xdr:col>
      <xdr:colOff>657225</xdr:colOff>
      <xdr:row>49</xdr:row>
      <xdr:rowOff>104775</xdr:rowOff>
    </xdr:from>
    <xdr:to>
      <xdr:col>14</xdr:col>
      <xdr:colOff>180975</xdr:colOff>
      <xdr:row>61</xdr:row>
      <xdr:rowOff>47920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33BAAEE-4CEF-EDA0-6489-45AEA13B7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67675" y="10029825"/>
          <a:ext cx="3476625" cy="2114845"/>
        </a:xfrm>
        <a:prstGeom prst="rect">
          <a:avLst/>
        </a:prstGeom>
      </xdr:spPr>
    </xdr:pic>
    <xdr:clientData/>
  </xdr:twoCellAnchor>
  <xdr:twoCellAnchor editAs="oneCell">
    <xdr:from>
      <xdr:col>9</xdr:col>
      <xdr:colOff>647700</xdr:colOff>
      <xdr:row>62</xdr:row>
      <xdr:rowOff>133351</xdr:rowOff>
    </xdr:from>
    <xdr:to>
      <xdr:col>14</xdr:col>
      <xdr:colOff>209550</xdr:colOff>
      <xdr:row>74</xdr:row>
      <xdr:rowOff>57151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7B094A-B8B0-BB36-F6B4-8158A3B49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58150" y="12411076"/>
          <a:ext cx="3514725" cy="2095500"/>
        </a:xfrm>
        <a:prstGeom prst="rect">
          <a:avLst/>
        </a:prstGeom>
      </xdr:spPr>
    </xdr:pic>
    <xdr:clientData/>
  </xdr:twoCellAnchor>
  <xdr:twoCellAnchor editAs="oneCell">
    <xdr:from>
      <xdr:col>9</xdr:col>
      <xdr:colOff>647700</xdr:colOff>
      <xdr:row>75</xdr:row>
      <xdr:rowOff>85725</xdr:rowOff>
    </xdr:from>
    <xdr:to>
      <xdr:col>14</xdr:col>
      <xdr:colOff>276725</xdr:colOff>
      <xdr:row>87</xdr:row>
      <xdr:rowOff>9525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5114C49-64BB-AFBE-0972-A5D4CE8C7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8150" y="14716125"/>
          <a:ext cx="3581900" cy="2095500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628651</xdr:colOff>
      <xdr:row>88</xdr:row>
      <xdr:rowOff>133350</xdr:rowOff>
    </xdr:from>
    <xdr:to>
      <xdr:col>14</xdr:col>
      <xdr:colOff>238126</xdr:colOff>
      <xdr:row>100</xdr:row>
      <xdr:rowOff>38100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EEC5556-720A-A68C-A470-88A1D0A0E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39101" y="17116425"/>
          <a:ext cx="3562350" cy="2076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16585</xdr:colOff>
      <xdr:row>0</xdr:row>
      <xdr:rowOff>195169</xdr:rowOff>
    </xdr:from>
    <xdr:to>
      <xdr:col>1</xdr:col>
      <xdr:colOff>361668</xdr:colOff>
      <xdr:row>3</xdr:row>
      <xdr:rowOff>62753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BA127F2-E4FD-B1F4-5FD6-6D93BEFB1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97" y="195169"/>
          <a:ext cx="345083" cy="347196"/>
        </a:xfrm>
        <a:prstGeom prst="rect">
          <a:avLst/>
        </a:prstGeom>
      </xdr:spPr>
    </xdr:pic>
    <xdr:clientData/>
  </xdr:twoCellAnchor>
  <xdr:twoCellAnchor>
    <xdr:from>
      <xdr:col>3</xdr:col>
      <xdr:colOff>177053</xdr:colOff>
      <xdr:row>8</xdr:row>
      <xdr:rowOff>103095</xdr:rowOff>
    </xdr:from>
    <xdr:to>
      <xdr:col>4</xdr:col>
      <xdr:colOff>73959</xdr:colOff>
      <xdr:row>9</xdr:row>
      <xdr:rowOff>98612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2C82D7EF-A4EC-FC07-3C87-E3C70E397B19}"/>
            </a:ext>
          </a:extLst>
        </xdr:cNvPr>
        <xdr:cNvGrpSpPr/>
      </xdr:nvGrpSpPr>
      <xdr:grpSpPr>
        <a:xfrm>
          <a:off x="2319618" y="1438836"/>
          <a:ext cx="690282" cy="215152"/>
          <a:chOff x="3272118" y="1340224"/>
          <a:chExt cx="690282" cy="215152"/>
        </a:xfrm>
      </xdr:grpSpPr>
      <xdr:sp macro="[0]!CopiarYGuardarDatos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E721C632-E776-F3C5-FEBD-2E0A57FDD283}"/>
              </a:ext>
            </a:extLst>
          </xdr:cNvPr>
          <xdr:cNvSpPr/>
        </xdr:nvSpPr>
        <xdr:spPr>
          <a:xfrm>
            <a:off x="3272118" y="1340224"/>
            <a:ext cx="690282" cy="215152"/>
          </a:xfrm>
          <a:prstGeom prst="roundRect">
            <a:avLst/>
          </a:prstGeom>
          <a:solidFill>
            <a:srgbClr val="D9E6FF"/>
          </a:solidFill>
          <a:ln>
            <a:solidFill>
              <a:srgbClr val="D9E6FF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50800" h="50800"/>
            <a:bevelB w="50800" h="508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CopiarYGuardarDatos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CF552A50-5AA8-D8E5-FACB-0E84395CFA9B}"/>
              </a:ext>
            </a:extLst>
          </xdr:cNvPr>
          <xdr:cNvSpPr txBox="1"/>
        </xdr:nvSpPr>
        <xdr:spPr>
          <a:xfrm>
            <a:off x="3281082" y="1340224"/>
            <a:ext cx="640977" cy="1972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000" b="1">
                <a:solidFill>
                  <a:srgbClr val="002D86"/>
                </a:solidFill>
                <a:effectLst/>
                <a:latin typeface="Angsana New" panose="02020603050405020304" pitchFamily="18" charset="-34"/>
                <a:ea typeface="+mn-ea"/>
                <a:cs typeface="Angsana New" panose="02020603050405020304" pitchFamily="18" charset="-34"/>
              </a:rPr>
              <a:t>INGRESAR</a:t>
            </a:r>
            <a:endParaRPr lang="es-ES" sz="1000">
              <a:solidFill>
                <a:srgbClr val="002D86"/>
              </a:solidFill>
              <a:effectLst/>
              <a:latin typeface="Angsana New" panose="02020603050405020304" pitchFamily="18" charset="-34"/>
              <a:cs typeface="Angsana New" panose="02020603050405020304" pitchFamily="18" charset="-34"/>
            </a:endParaRPr>
          </a:p>
          <a:p>
            <a:pPr algn="ctr"/>
            <a:endParaRPr lang="es-ES" sz="1100"/>
          </a:p>
        </xdr:txBody>
      </xdr:sp>
    </xdr:grpSp>
    <xdr:clientData/>
  </xdr:twoCellAnchor>
  <xdr:twoCellAnchor>
    <xdr:from>
      <xdr:col>3</xdr:col>
      <xdr:colOff>186017</xdr:colOff>
      <xdr:row>10</xdr:row>
      <xdr:rowOff>107576</xdr:rowOff>
    </xdr:from>
    <xdr:to>
      <xdr:col>4</xdr:col>
      <xdr:colOff>82923</xdr:colOff>
      <xdr:row>11</xdr:row>
      <xdr:rowOff>103093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64C39466-E343-4B0F-84B7-95A615A47AE0}"/>
            </a:ext>
          </a:extLst>
        </xdr:cNvPr>
        <xdr:cNvGrpSpPr/>
      </xdr:nvGrpSpPr>
      <xdr:grpSpPr>
        <a:xfrm>
          <a:off x="2328582" y="1882588"/>
          <a:ext cx="690282" cy="215152"/>
          <a:chOff x="3272118" y="1340224"/>
          <a:chExt cx="690282" cy="215152"/>
        </a:xfrm>
      </xdr:grpSpPr>
      <xdr:sp macro="[0]!SobreescribirUltimaFila" textlink="">
        <xdr:nvSpPr>
          <xdr:cNvPr id="18" name="Rectángulo: esquinas redondeadas 17">
            <a:extLst>
              <a:ext uri="{FF2B5EF4-FFF2-40B4-BE49-F238E27FC236}">
                <a16:creationId xmlns:a16="http://schemas.microsoft.com/office/drawing/2014/main" id="{4108D9E9-14A5-15A4-A0FC-1FCE8A898C06}"/>
              </a:ext>
            </a:extLst>
          </xdr:cNvPr>
          <xdr:cNvSpPr/>
        </xdr:nvSpPr>
        <xdr:spPr>
          <a:xfrm>
            <a:off x="3272118" y="1340224"/>
            <a:ext cx="690282" cy="215152"/>
          </a:xfrm>
          <a:prstGeom prst="roundRect">
            <a:avLst/>
          </a:prstGeom>
          <a:solidFill>
            <a:srgbClr val="D9E6FF"/>
          </a:solidFill>
          <a:ln>
            <a:solidFill>
              <a:srgbClr val="D9E6FF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50800" h="50800"/>
            <a:bevelB w="50800" h="508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SobrescribirUltimosDatos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F85142F8-293B-B983-5277-99FE4423BF56}"/>
              </a:ext>
            </a:extLst>
          </xdr:cNvPr>
          <xdr:cNvSpPr txBox="1"/>
        </xdr:nvSpPr>
        <xdr:spPr>
          <a:xfrm>
            <a:off x="3281082" y="1340224"/>
            <a:ext cx="672354" cy="1972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000" b="1">
                <a:solidFill>
                  <a:srgbClr val="002D86"/>
                </a:solidFill>
                <a:effectLst/>
                <a:latin typeface="Angsana New" panose="02020603050405020304" pitchFamily="18" charset="-34"/>
                <a:ea typeface="+mn-ea"/>
                <a:cs typeface="Angsana New" panose="02020603050405020304" pitchFamily="18" charset="-34"/>
              </a:rPr>
              <a:t>CORREGIR</a:t>
            </a:r>
            <a:endParaRPr lang="es-ES" sz="1000">
              <a:solidFill>
                <a:srgbClr val="002D86"/>
              </a:solidFill>
              <a:effectLst/>
              <a:latin typeface="Angsana New" panose="02020603050405020304" pitchFamily="18" charset="-34"/>
              <a:cs typeface="Angsana New" panose="02020603050405020304" pitchFamily="18" charset="-34"/>
            </a:endParaRPr>
          </a:p>
          <a:p>
            <a:pPr algn="ctr"/>
            <a:endParaRPr lang="es-E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479107</xdr:colOff>
      <xdr:row>2</xdr:row>
      <xdr:rowOff>63499</xdr:rowOff>
    </xdr:from>
    <xdr:to>
      <xdr:col>33</xdr:col>
      <xdr:colOff>658320</xdr:colOff>
      <xdr:row>47</xdr:row>
      <xdr:rowOff>42049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9A57A59E-88DF-7C4C-65CB-18A561B5C5BD}"/>
            </a:ext>
          </a:extLst>
        </xdr:cNvPr>
        <xdr:cNvGrpSpPr/>
      </xdr:nvGrpSpPr>
      <xdr:grpSpPr>
        <a:xfrm>
          <a:off x="479107" y="433613"/>
          <a:ext cx="26402899" cy="8306122"/>
          <a:chOff x="479107" y="419099"/>
          <a:chExt cx="26163413" cy="7979550"/>
        </a:xfrm>
      </xdr:grpSpPr>
      <xdr:grpSp>
        <xdr:nvGrpSpPr>
          <xdr:cNvPr id="13" name="Grupo 12">
            <a:extLst>
              <a:ext uri="{FF2B5EF4-FFF2-40B4-BE49-F238E27FC236}">
                <a16:creationId xmlns:a16="http://schemas.microsoft.com/office/drawing/2014/main" id="{00238F49-48EA-F684-213C-B02AE9FD3A3B}"/>
              </a:ext>
            </a:extLst>
          </xdr:cNvPr>
          <xdr:cNvGrpSpPr/>
        </xdr:nvGrpSpPr>
        <xdr:grpSpPr>
          <a:xfrm>
            <a:off x="479107" y="459566"/>
            <a:ext cx="6421943" cy="7898617"/>
            <a:chOff x="479107" y="440690"/>
            <a:chExt cx="6447343" cy="8038317"/>
          </a:xfrm>
        </xdr:grpSpPr>
        <xdr:graphicFrame macro="">
          <xdr:nvGraphicFramePr>
            <xdr:cNvPr id="5" name="Gráfico 4">
              <a:extLst>
                <a:ext uri="{FF2B5EF4-FFF2-40B4-BE49-F238E27FC236}">
                  <a16:creationId xmlns:a16="http://schemas.microsoft.com/office/drawing/2014/main" id="{FAD538BE-0666-40C6-A779-C68294EA1FBE}"/>
                </a:ext>
              </a:extLst>
            </xdr:cNvPr>
            <xdr:cNvGraphicFramePr>
              <a:graphicFrameLocks/>
            </xdr:cNvGraphicFramePr>
          </xdr:nvGraphicFramePr>
          <xdr:xfrm>
            <a:off x="479107" y="440690"/>
            <a:ext cx="6447343" cy="38742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92E271B1-A1DB-45CD-BC8D-3011699361E8}"/>
                </a:ext>
              </a:extLst>
            </xdr:cNvPr>
            <xdr:cNvGraphicFramePr>
              <a:graphicFrameLocks/>
            </xdr:cNvGraphicFramePr>
          </xdr:nvGraphicFramePr>
          <xdr:xfrm>
            <a:off x="479107" y="4604732"/>
            <a:ext cx="6447343" cy="38742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xdr:grpSp>
      <xdr:grpSp>
        <xdr:nvGrpSpPr>
          <xdr:cNvPr id="14" name="Grupo 13">
            <a:extLst>
              <a:ext uri="{FF2B5EF4-FFF2-40B4-BE49-F238E27FC236}">
                <a16:creationId xmlns:a16="http://schemas.microsoft.com/office/drawing/2014/main" id="{AC6B3BF6-B259-BFDE-8AC1-4C6D800914AA}"/>
              </a:ext>
            </a:extLst>
          </xdr:cNvPr>
          <xdr:cNvGrpSpPr/>
        </xdr:nvGrpSpPr>
        <xdr:grpSpPr>
          <a:xfrm>
            <a:off x="13641070" y="419099"/>
            <a:ext cx="6454600" cy="7979550"/>
            <a:chOff x="13695045" y="425449"/>
            <a:chExt cx="6480000" cy="8122425"/>
          </a:xfrm>
        </xdr:grpSpPr>
        <xdr:graphicFrame macro="">
          <xdr:nvGraphicFramePr>
            <xdr:cNvPr id="7" name="Gráfico 6">
              <a:extLst>
                <a:ext uri="{FF2B5EF4-FFF2-40B4-BE49-F238E27FC236}">
                  <a16:creationId xmlns:a16="http://schemas.microsoft.com/office/drawing/2014/main" id="{FE7648FE-D1C4-4A04-9331-CCE674E3B185}"/>
                </a:ext>
              </a:extLst>
            </xdr:cNvPr>
            <xdr:cNvGraphicFramePr>
              <a:graphicFrameLocks/>
            </xdr:cNvGraphicFramePr>
          </xdr:nvGraphicFramePr>
          <xdr:xfrm>
            <a:off x="13695045" y="425449"/>
            <a:ext cx="6480000" cy="396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graphicFrame macro="">
          <xdr:nvGraphicFramePr>
            <xdr:cNvPr id="8" name="Gráfico 7">
              <a:extLst>
                <a:ext uri="{FF2B5EF4-FFF2-40B4-BE49-F238E27FC236}">
                  <a16:creationId xmlns:a16="http://schemas.microsoft.com/office/drawing/2014/main" id="{7D0CE6DA-A121-4505-97CB-22D52C08E791}"/>
                </a:ext>
              </a:extLst>
            </xdr:cNvPr>
            <xdr:cNvGraphicFramePr>
              <a:graphicFrameLocks/>
            </xdr:cNvGraphicFramePr>
          </xdr:nvGraphicFramePr>
          <xdr:xfrm>
            <a:off x="13695045" y="4587874"/>
            <a:ext cx="6480000" cy="396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A2E881CE-BADD-BEC0-D685-37A741AC0EDE}"/>
              </a:ext>
            </a:extLst>
          </xdr:cNvPr>
          <xdr:cNvGrpSpPr/>
        </xdr:nvGrpSpPr>
        <xdr:grpSpPr>
          <a:xfrm>
            <a:off x="7027002" y="459566"/>
            <a:ext cx="6445982" cy="7898617"/>
            <a:chOff x="7027002" y="434340"/>
            <a:chExt cx="6445982" cy="7898617"/>
          </a:xfrm>
        </xdr:grpSpPr>
        <xdr:graphicFrame macro="">
          <xdr:nvGraphicFramePr>
            <xdr:cNvPr id="9" name="Gráfico 8">
              <a:extLst>
                <a:ext uri="{FF2B5EF4-FFF2-40B4-BE49-F238E27FC236}">
                  <a16:creationId xmlns:a16="http://schemas.microsoft.com/office/drawing/2014/main" id="{6B636A5C-342D-4F43-90CF-29BE1FC7D6AF}"/>
                </a:ext>
              </a:extLst>
            </xdr:cNvPr>
            <xdr:cNvGraphicFramePr>
              <a:graphicFrameLocks/>
            </xdr:cNvGraphicFramePr>
          </xdr:nvGraphicFramePr>
          <xdr:xfrm>
            <a:off x="7058298" y="434340"/>
            <a:ext cx="6414686" cy="38076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0" name="Gráfico 9">
              <a:extLst>
                <a:ext uri="{FF2B5EF4-FFF2-40B4-BE49-F238E27FC236}">
                  <a16:creationId xmlns:a16="http://schemas.microsoft.com/office/drawing/2014/main" id="{462BFACF-623F-4AD3-8F9E-7DE62260CE8A}"/>
                </a:ext>
              </a:extLst>
            </xdr:cNvPr>
            <xdr:cNvGraphicFramePr>
              <a:graphicFrameLocks/>
            </xdr:cNvGraphicFramePr>
          </xdr:nvGraphicFramePr>
          <xdr:xfrm>
            <a:off x="7027002" y="4525357"/>
            <a:ext cx="6414686" cy="38076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  <xdr:grpSp>
        <xdr:nvGrpSpPr>
          <xdr:cNvPr id="21" name="Grupo 20">
            <a:extLst>
              <a:ext uri="{FF2B5EF4-FFF2-40B4-BE49-F238E27FC236}">
                <a16:creationId xmlns:a16="http://schemas.microsoft.com/office/drawing/2014/main" id="{AA704465-4499-731F-3823-0B889DECDB6F}"/>
              </a:ext>
            </a:extLst>
          </xdr:cNvPr>
          <xdr:cNvGrpSpPr/>
        </xdr:nvGrpSpPr>
        <xdr:grpSpPr>
          <a:xfrm>
            <a:off x="20203160" y="466135"/>
            <a:ext cx="6439360" cy="7885478"/>
            <a:chOff x="20384589" y="460012"/>
            <a:chExt cx="6497417" cy="8204793"/>
          </a:xfrm>
        </xdr:grpSpPr>
        <xdr:graphicFrame macro="">
          <xdr:nvGraphicFramePr>
            <xdr:cNvPr id="19" name="Gráfico 18">
              <a:extLst>
                <a:ext uri="{FF2B5EF4-FFF2-40B4-BE49-F238E27FC236}">
                  <a16:creationId xmlns:a16="http://schemas.microsoft.com/office/drawing/2014/main" id="{7737E46D-731E-47AB-8666-9C0622FC0025}"/>
                </a:ext>
              </a:extLst>
            </xdr:cNvPr>
            <xdr:cNvGraphicFramePr>
              <a:graphicFrameLocks/>
            </xdr:cNvGraphicFramePr>
          </xdr:nvGraphicFramePr>
          <xdr:xfrm>
            <a:off x="20384589" y="460012"/>
            <a:ext cx="6497417" cy="400789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graphicFrame macro="">
          <xdr:nvGraphicFramePr>
            <xdr:cNvPr id="20" name="Gráfico 19">
              <a:extLst>
                <a:ext uri="{FF2B5EF4-FFF2-40B4-BE49-F238E27FC236}">
                  <a16:creationId xmlns:a16="http://schemas.microsoft.com/office/drawing/2014/main" id="{1D65C566-31F6-40C1-B9A6-83378872DA12}"/>
                </a:ext>
              </a:extLst>
            </xdr:cNvPr>
            <xdr:cNvGraphicFramePr>
              <a:graphicFrameLocks/>
            </xdr:cNvGraphicFramePr>
          </xdr:nvGraphicFramePr>
          <xdr:xfrm>
            <a:off x="20393297" y="4704805"/>
            <a:ext cx="6480000" cy="396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579120</xdr:colOff>
      <xdr:row>0</xdr:row>
      <xdr:rowOff>168011</xdr:rowOff>
    </xdr:from>
    <xdr:to>
      <xdr:col>1</xdr:col>
      <xdr:colOff>83820</xdr:colOff>
      <xdr:row>2</xdr:row>
      <xdr:rowOff>43049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F62B18-5E41-4164-8835-DC96B0BB8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168011"/>
          <a:ext cx="297180" cy="2712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161</xdr:row>
      <xdr:rowOff>25399</xdr:rowOff>
    </xdr:from>
    <xdr:to>
      <xdr:col>8</xdr:col>
      <xdr:colOff>269700</xdr:colOff>
      <xdr:row>191</xdr:row>
      <xdr:rowOff>91399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B76C27E-2D6E-0778-47EE-9624E17F3D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88901</xdr:colOff>
      <xdr:row>160</xdr:row>
      <xdr:rowOff>88900</xdr:rowOff>
    </xdr:from>
    <xdr:to>
      <xdr:col>14</xdr:col>
      <xdr:colOff>269701</xdr:colOff>
      <xdr:row>190</xdr:row>
      <xdr:rowOff>154900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E7CDD13-7DA2-F49F-4BAE-F6DB563798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12700</xdr:colOff>
      <xdr:row>161</xdr:row>
      <xdr:rowOff>12699</xdr:rowOff>
    </xdr:from>
    <xdr:to>
      <xdr:col>31</xdr:col>
      <xdr:colOff>37500</xdr:colOff>
      <xdr:row>191</xdr:row>
      <xdr:rowOff>78699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C050827-6839-47E2-8117-06B712DD56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787399</xdr:colOff>
      <xdr:row>192</xdr:row>
      <xdr:rowOff>0</xdr:rowOff>
    </xdr:from>
    <xdr:to>
      <xdr:col>31</xdr:col>
      <xdr:colOff>24799</xdr:colOff>
      <xdr:row>222</xdr:row>
      <xdr:rowOff>66000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F85D7ED-13B3-4B64-BE5C-CC59B177E9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768350</xdr:colOff>
      <xdr:row>160</xdr:row>
      <xdr:rowOff>165099</xdr:rowOff>
    </xdr:from>
    <xdr:to>
      <xdr:col>48</xdr:col>
      <xdr:colOff>5750</xdr:colOff>
      <xdr:row>191</xdr:row>
      <xdr:rowOff>53299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D0D0CCAC-4496-4124-AEDC-AE7B9A857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774701</xdr:colOff>
      <xdr:row>192</xdr:row>
      <xdr:rowOff>12700</xdr:rowOff>
    </xdr:from>
    <xdr:to>
      <xdr:col>48</xdr:col>
      <xdr:colOff>12101</xdr:colOff>
      <xdr:row>222</xdr:row>
      <xdr:rowOff>78700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2B86744-0789-475E-887E-C8780AF92B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50</xdr:col>
      <xdr:colOff>762000</xdr:colOff>
      <xdr:row>160</xdr:row>
      <xdr:rowOff>177799</xdr:rowOff>
    </xdr:from>
    <xdr:to>
      <xdr:col>65</xdr:col>
      <xdr:colOff>0</xdr:colOff>
      <xdr:row>191</xdr:row>
      <xdr:rowOff>65999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7F53DE01-227B-4D88-9D73-6DF9931A02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51</xdr:col>
      <xdr:colOff>0</xdr:colOff>
      <xdr:row>191</xdr:row>
      <xdr:rowOff>165100</xdr:rowOff>
    </xdr:from>
    <xdr:to>
      <xdr:col>65</xdr:col>
      <xdr:colOff>24800</xdr:colOff>
      <xdr:row>222</xdr:row>
      <xdr:rowOff>53300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69B9C63-CD4A-49D8-8901-8D3DCB27A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DB719-47FA-4516-8F5F-A5B8FFBBDEA3}">
  <sheetPr codeName="Hoja2"/>
  <dimension ref="A1:R95"/>
  <sheetViews>
    <sheetView topLeftCell="A34" zoomScale="80" zoomScaleNormal="80" workbookViewId="0">
      <selection activeCell="H6" sqref="H6"/>
    </sheetView>
  </sheetViews>
  <sheetFormatPr baseColWidth="10" defaultRowHeight="14.4" x14ac:dyDescent="0.3"/>
  <cols>
    <col min="1" max="1" width="11.5546875" style="3"/>
    <col min="2" max="2" width="15.88671875" style="3" customWidth="1"/>
    <col min="3" max="16384" width="11.5546875" style="3"/>
  </cols>
  <sheetData>
    <row r="1" spans="1:13" ht="16.8" customHeight="1" x14ac:dyDescent="0.6">
      <c r="A1" s="130" t="s">
        <v>20</v>
      </c>
      <c r="B1" s="131"/>
      <c r="C1" s="132" t="s">
        <v>22</v>
      </c>
      <c r="D1" s="133"/>
      <c r="E1" s="133"/>
      <c r="F1" s="133"/>
      <c r="G1" s="133"/>
      <c r="H1" s="133"/>
      <c r="I1" s="133"/>
      <c r="J1" s="133"/>
      <c r="K1" s="133"/>
      <c r="L1" s="87"/>
      <c r="M1" s="87"/>
    </row>
    <row r="2" spans="1:13" ht="14.4" customHeight="1" x14ac:dyDescent="0.3">
      <c r="A2" s="45"/>
      <c r="B2" s="46"/>
      <c r="C2" s="134"/>
      <c r="D2" s="135"/>
      <c r="E2" s="135"/>
      <c r="F2" s="135"/>
      <c r="G2" s="135"/>
      <c r="H2" s="135"/>
      <c r="I2" s="135"/>
      <c r="J2" s="135"/>
      <c r="K2" s="135"/>
      <c r="L2" s="87"/>
      <c r="M2" s="87"/>
    </row>
    <row r="3" spans="1:13" ht="16.8" customHeight="1" x14ac:dyDescent="0.4">
      <c r="A3" s="128" t="s">
        <v>21</v>
      </c>
      <c r="B3" s="129"/>
      <c r="C3" s="126" t="s">
        <v>23</v>
      </c>
      <c r="D3" s="127"/>
      <c r="E3" s="127"/>
      <c r="F3" s="127"/>
      <c r="G3" s="127"/>
      <c r="H3" s="127"/>
      <c r="I3" s="127"/>
      <c r="J3" s="127"/>
      <c r="K3" s="127"/>
      <c r="L3" s="87"/>
      <c r="M3" s="87"/>
    </row>
    <row r="4" spans="1:13" ht="14.4" customHeight="1" x14ac:dyDescent="0.3"/>
    <row r="5" spans="1:13" ht="14.4" customHeight="1" x14ac:dyDescent="0.3">
      <c r="A5" s="47" t="s">
        <v>62</v>
      </c>
    </row>
    <row r="6" spans="1:13" x14ac:dyDescent="0.3">
      <c r="A6" s="9"/>
      <c r="B6" s="3" t="s">
        <v>28</v>
      </c>
    </row>
    <row r="7" spans="1:13" x14ac:dyDescent="0.3">
      <c r="A7" s="10"/>
      <c r="B7" s="3" t="s">
        <v>35</v>
      </c>
    </row>
    <row r="8" spans="1:13" x14ac:dyDescent="0.3">
      <c r="A8" s="11"/>
      <c r="B8" s="3" t="s">
        <v>36</v>
      </c>
    </row>
    <row r="9" spans="1:13" x14ac:dyDescent="0.3">
      <c r="A9" s="12"/>
      <c r="B9" s="3" t="s">
        <v>37</v>
      </c>
    </row>
    <row r="12" spans="1:13" ht="23.4" x14ac:dyDescent="0.6">
      <c r="A12" s="118" t="s">
        <v>29</v>
      </c>
    </row>
    <row r="13" spans="1:13" x14ac:dyDescent="0.3">
      <c r="A13" s="119"/>
      <c r="B13" s="3" t="s">
        <v>30</v>
      </c>
    </row>
    <row r="14" spans="1:13" ht="15" customHeight="1" x14ac:dyDescent="0.3">
      <c r="A14" s="119"/>
      <c r="B14" s="3" t="s">
        <v>31</v>
      </c>
    </row>
    <row r="15" spans="1:13" x14ac:dyDescent="0.3">
      <c r="A15" s="119"/>
      <c r="B15" s="3" t="s">
        <v>34</v>
      </c>
    </row>
    <row r="16" spans="1:13" ht="23.4" x14ac:dyDescent="0.6">
      <c r="A16" s="118" t="s">
        <v>54</v>
      </c>
    </row>
    <row r="17" spans="1:2" x14ac:dyDescent="0.3">
      <c r="A17" s="119"/>
      <c r="B17" s="3" t="s">
        <v>55</v>
      </c>
    </row>
    <row r="18" spans="1:2" x14ac:dyDescent="0.3">
      <c r="A18" s="119"/>
    </row>
    <row r="19" spans="1:2" ht="23.4" x14ac:dyDescent="0.6">
      <c r="A19" s="118" t="s">
        <v>51</v>
      </c>
    </row>
    <row r="20" spans="1:2" x14ac:dyDescent="0.3">
      <c r="A20" s="119"/>
      <c r="B20" s="3" t="s">
        <v>52</v>
      </c>
    </row>
    <row r="21" spans="1:2" x14ac:dyDescent="0.3">
      <c r="A21" s="119"/>
      <c r="B21" s="3" t="s">
        <v>53</v>
      </c>
    </row>
    <row r="22" spans="1:2" ht="23.4" x14ac:dyDescent="0.6">
      <c r="A22" s="118" t="s">
        <v>56</v>
      </c>
    </row>
    <row r="23" spans="1:2" x14ac:dyDescent="0.3">
      <c r="A23" s="119"/>
      <c r="B23" s="3" t="s">
        <v>57</v>
      </c>
    </row>
    <row r="24" spans="1:2" ht="23.4" x14ac:dyDescent="0.6">
      <c r="A24" s="118" t="s">
        <v>58</v>
      </c>
    </row>
    <row r="25" spans="1:2" x14ac:dyDescent="0.3">
      <c r="B25" s="3" t="s">
        <v>57</v>
      </c>
    </row>
    <row r="28" spans="1:2" ht="23.4" x14ac:dyDescent="0.3">
      <c r="A28" s="115" t="s">
        <v>63</v>
      </c>
    </row>
    <row r="30" spans="1:2" x14ac:dyDescent="0.3">
      <c r="B30" s="41" t="s">
        <v>66</v>
      </c>
    </row>
    <row r="31" spans="1:2" x14ac:dyDescent="0.3">
      <c r="B31" s="41" t="s">
        <v>64</v>
      </c>
    </row>
    <row r="32" spans="1:2" x14ac:dyDescent="0.3">
      <c r="B32" s="3" t="s">
        <v>65</v>
      </c>
    </row>
    <row r="33" spans="1:18" x14ac:dyDescent="0.3">
      <c r="B33" s="3" t="s">
        <v>67</v>
      </c>
    </row>
    <row r="34" spans="1:18" ht="29.4" customHeight="1" x14ac:dyDescent="0.3">
      <c r="B34" s="136" t="s">
        <v>68</v>
      </c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</row>
    <row r="36" spans="1:18" ht="23.4" x14ac:dyDescent="0.3">
      <c r="A36" s="115" t="s">
        <v>69</v>
      </c>
    </row>
    <row r="38" spans="1:18" s="117" customFormat="1" x14ac:dyDescent="0.3">
      <c r="A38" s="3"/>
      <c r="B38" s="116" t="s">
        <v>70</v>
      </c>
    </row>
    <row r="39" spans="1:18" x14ac:dyDescent="0.3">
      <c r="B39" s="3" t="s">
        <v>73</v>
      </c>
    </row>
    <row r="40" spans="1:18" x14ac:dyDescent="0.3">
      <c r="C40" s="3" t="s">
        <v>71</v>
      </c>
    </row>
    <row r="41" spans="1:18" x14ac:dyDescent="0.3">
      <c r="C41" s="3" t="s">
        <v>72</v>
      </c>
    </row>
    <row r="50" spans="1:4" s="117" customFormat="1" x14ac:dyDescent="0.3">
      <c r="A50" s="3"/>
      <c r="B50" s="116" t="s">
        <v>74</v>
      </c>
    </row>
    <row r="51" spans="1:4" x14ac:dyDescent="0.3">
      <c r="B51" s="3" t="s">
        <v>75</v>
      </c>
    </row>
    <row r="52" spans="1:4" x14ac:dyDescent="0.3">
      <c r="B52" s="3" t="s">
        <v>76</v>
      </c>
    </row>
    <row r="53" spans="1:4" x14ac:dyDescent="0.3">
      <c r="D53" s="3" t="s">
        <v>77</v>
      </c>
    </row>
    <row r="54" spans="1:4" x14ac:dyDescent="0.3">
      <c r="D54" s="3" t="s">
        <v>78</v>
      </c>
    </row>
    <row r="55" spans="1:4" x14ac:dyDescent="0.3">
      <c r="D55" s="3" t="s">
        <v>79</v>
      </c>
    </row>
    <row r="56" spans="1:4" x14ac:dyDescent="0.3">
      <c r="D56" s="3" t="s">
        <v>97</v>
      </c>
    </row>
    <row r="57" spans="1:4" x14ac:dyDescent="0.3">
      <c r="B57" s="3" t="s">
        <v>80</v>
      </c>
    </row>
    <row r="58" spans="1:4" x14ac:dyDescent="0.3">
      <c r="C58" s="3" t="s">
        <v>81</v>
      </c>
    </row>
    <row r="63" spans="1:4" s="117" customFormat="1" x14ac:dyDescent="0.3">
      <c r="A63" s="3"/>
      <c r="B63" s="116" t="s">
        <v>82</v>
      </c>
    </row>
    <row r="64" spans="1:4" x14ac:dyDescent="0.3">
      <c r="B64" s="3" t="s">
        <v>83</v>
      </c>
    </row>
    <row r="65" spans="1:3" x14ac:dyDescent="0.3">
      <c r="B65" s="3" t="s">
        <v>86</v>
      </c>
    </row>
    <row r="66" spans="1:3" x14ac:dyDescent="0.3">
      <c r="C66" s="3" t="s">
        <v>84</v>
      </c>
    </row>
    <row r="67" spans="1:3" x14ac:dyDescent="0.3">
      <c r="C67" s="3" t="s">
        <v>85</v>
      </c>
    </row>
    <row r="68" spans="1:3" x14ac:dyDescent="0.3">
      <c r="B68" s="3" t="s">
        <v>80</v>
      </c>
    </row>
    <row r="69" spans="1:3" x14ac:dyDescent="0.3">
      <c r="C69" s="3" t="s">
        <v>87</v>
      </c>
    </row>
    <row r="76" spans="1:3" s="117" customFormat="1" x14ac:dyDescent="0.3">
      <c r="A76" s="3"/>
      <c r="B76" s="116" t="s">
        <v>88</v>
      </c>
    </row>
    <row r="77" spans="1:3" x14ac:dyDescent="0.3">
      <c r="B77" s="3" t="s">
        <v>89</v>
      </c>
    </row>
    <row r="78" spans="1:3" x14ac:dyDescent="0.3">
      <c r="B78" s="3" t="s">
        <v>86</v>
      </c>
    </row>
    <row r="79" spans="1:3" x14ac:dyDescent="0.3">
      <c r="C79" s="3" t="s">
        <v>90</v>
      </c>
    </row>
    <row r="80" spans="1:3" x14ac:dyDescent="0.3">
      <c r="C80" s="3" t="s">
        <v>91</v>
      </c>
    </row>
    <row r="81" spans="1:3" x14ac:dyDescent="0.3">
      <c r="C81" s="3" t="s">
        <v>92</v>
      </c>
    </row>
    <row r="82" spans="1:3" x14ac:dyDescent="0.3">
      <c r="B82" s="3" t="s">
        <v>80</v>
      </c>
    </row>
    <row r="83" spans="1:3" x14ac:dyDescent="0.3">
      <c r="C83" s="3" t="s">
        <v>93</v>
      </c>
    </row>
    <row r="89" spans="1:3" s="117" customFormat="1" x14ac:dyDescent="0.3">
      <c r="A89" s="3"/>
      <c r="B89" s="116" t="s">
        <v>94</v>
      </c>
    </row>
    <row r="90" spans="1:3" x14ac:dyDescent="0.3">
      <c r="B90" s="3" t="s">
        <v>95</v>
      </c>
    </row>
    <row r="91" spans="1:3" x14ac:dyDescent="0.3">
      <c r="B91" s="3" t="s">
        <v>86</v>
      </c>
    </row>
    <row r="92" spans="1:3" x14ac:dyDescent="0.3">
      <c r="C92" s="3" t="s">
        <v>96</v>
      </c>
    </row>
    <row r="93" spans="1:3" x14ac:dyDescent="0.3">
      <c r="C93" s="3" t="s">
        <v>98</v>
      </c>
    </row>
    <row r="94" spans="1:3" x14ac:dyDescent="0.3">
      <c r="B94" s="3" t="s">
        <v>80</v>
      </c>
    </row>
    <row r="95" spans="1:3" x14ac:dyDescent="0.3">
      <c r="C95" s="3" t="s">
        <v>99</v>
      </c>
    </row>
  </sheetData>
  <mergeCells count="5">
    <mergeCell ref="C3:K3"/>
    <mergeCell ref="A3:B3"/>
    <mergeCell ref="A1:B1"/>
    <mergeCell ref="C1:K2"/>
    <mergeCell ref="B34:R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1B3D4-938C-4BFB-9DBD-B80D06B4311C}">
  <sheetPr codeName="Hoja3">
    <tabColor rgb="FFFFFFE1"/>
  </sheetPr>
  <dimension ref="A1:J14"/>
  <sheetViews>
    <sheetView zoomScale="170" zoomScaleNormal="170" workbookViewId="0">
      <selection activeCell="C12" sqref="C12"/>
    </sheetView>
  </sheetViews>
  <sheetFormatPr baseColWidth="10" defaultRowHeight="14.4" x14ac:dyDescent="0.3"/>
  <cols>
    <col min="1" max="1" width="7" style="3" customWidth="1"/>
    <col min="2" max="2" width="12.6640625" style="3" customWidth="1"/>
    <col min="3" max="3" width="11.5546875" style="3"/>
    <col min="4" max="4" width="11.5546875" style="3" customWidth="1"/>
    <col min="5" max="16384" width="11.5546875" style="3"/>
  </cols>
  <sheetData>
    <row r="1" spans="1:10" ht="15.6" customHeight="1" x14ac:dyDescent="0.3">
      <c r="A1" s="141" t="s">
        <v>20</v>
      </c>
      <c r="B1" s="142"/>
      <c r="C1" s="139" t="s">
        <v>22</v>
      </c>
      <c r="D1" s="139"/>
      <c r="E1" s="139"/>
      <c r="F1" s="139"/>
    </row>
    <row r="2" spans="1:10" ht="9" customHeight="1" x14ac:dyDescent="0.3">
      <c r="A2" s="143"/>
      <c r="B2" s="144"/>
      <c r="C2" s="140"/>
      <c r="D2" s="140"/>
      <c r="E2" s="140"/>
      <c r="F2" s="140"/>
    </row>
    <row r="3" spans="1:10" ht="13.2" customHeight="1" x14ac:dyDescent="0.3">
      <c r="A3" s="143"/>
      <c r="B3" s="144"/>
      <c r="C3" s="140"/>
      <c r="D3" s="140"/>
      <c r="E3" s="140"/>
      <c r="F3" s="140"/>
    </row>
    <row r="4" spans="1:10" ht="10.199999999999999" customHeight="1" x14ac:dyDescent="0.3">
      <c r="A4" s="145" t="s">
        <v>21</v>
      </c>
      <c r="B4" s="146"/>
      <c r="C4" s="137" t="s">
        <v>23</v>
      </c>
      <c r="D4" s="137"/>
      <c r="E4" s="137"/>
      <c r="F4" s="137"/>
    </row>
    <row r="5" spans="1:10" ht="10.8" customHeight="1" x14ac:dyDescent="0.3">
      <c r="A5" s="147"/>
      <c r="B5" s="148"/>
      <c r="C5" s="138"/>
      <c r="D5" s="138"/>
      <c r="E5" s="138"/>
      <c r="F5" s="138"/>
    </row>
    <row r="7" spans="1:10" x14ac:dyDescent="0.3">
      <c r="J7" s="8"/>
    </row>
    <row r="8" spans="1:10" ht="17.399999999999999" x14ac:dyDescent="0.3">
      <c r="B8" s="6" t="s">
        <v>24</v>
      </c>
      <c r="C8" s="44"/>
    </row>
    <row r="9" spans="1:10" ht="17.399999999999999" x14ac:dyDescent="0.3">
      <c r="B9" s="6" t="s">
        <v>25</v>
      </c>
      <c r="C9" s="43"/>
    </row>
    <row r="10" spans="1:10" ht="17.399999999999999" x14ac:dyDescent="0.3">
      <c r="B10" s="6" t="s">
        <v>26</v>
      </c>
      <c r="C10" s="43"/>
      <c r="D10" s="4"/>
      <c r="E10" s="5"/>
      <c r="J10" s="8"/>
    </row>
    <row r="11" spans="1:10" ht="17.399999999999999" x14ac:dyDescent="0.3">
      <c r="B11" s="6" t="s">
        <v>27</v>
      </c>
      <c r="C11" s="43"/>
    </row>
    <row r="12" spans="1:10" ht="17.399999999999999" x14ac:dyDescent="0.3">
      <c r="B12" s="6" t="s">
        <v>33</v>
      </c>
      <c r="C12" s="7"/>
    </row>
    <row r="13" spans="1:10" ht="18" thickBot="1" x14ac:dyDescent="0.35">
      <c r="B13" s="6" t="s">
        <v>5</v>
      </c>
      <c r="C13" s="42"/>
    </row>
    <row r="14" spans="1:10" x14ac:dyDescent="0.3">
      <c r="G14" s="41"/>
    </row>
  </sheetData>
  <mergeCells count="5">
    <mergeCell ref="C4:F5"/>
    <mergeCell ref="C1:F3"/>
    <mergeCell ref="A1:B1"/>
    <mergeCell ref="A2:B3"/>
    <mergeCell ref="A4:B5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24DEE-1713-4A90-9A58-F40A170D9A05}">
  <sheetPr codeName="Hoja4">
    <tabColor rgb="FFB3FFB3"/>
  </sheetPr>
  <dimension ref="A1:G1204"/>
  <sheetViews>
    <sheetView tabSelected="1" workbookViewId="0">
      <pane ySplit="1" topLeftCell="A2" activePane="bottomLeft" state="frozen"/>
      <selection pane="bottomLeft" activeCell="I5" sqref="I5"/>
    </sheetView>
  </sheetViews>
  <sheetFormatPr baseColWidth="10" defaultRowHeight="14.4" x14ac:dyDescent="0.3"/>
  <cols>
    <col min="1" max="1" width="7.77734375" style="101" customWidth="1"/>
    <col min="2" max="16384" width="11.5546875" style="101"/>
  </cols>
  <sheetData>
    <row r="1" spans="1:7" x14ac:dyDescent="0.3">
      <c r="A1" s="100" t="s">
        <v>0</v>
      </c>
      <c r="B1" s="40" t="s">
        <v>24</v>
      </c>
      <c r="C1" s="40" t="s">
        <v>25</v>
      </c>
      <c r="D1" s="40" t="s">
        <v>26</v>
      </c>
      <c r="E1" s="40" t="s">
        <v>27</v>
      </c>
      <c r="F1" s="40" t="s">
        <v>33</v>
      </c>
      <c r="G1" s="40" t="s">
        <v>5</v>
      </c>
    </row>
    <row r="2" spans="1:7" x14ac:dyDescent="0.3">
      <c r="A2" s="88"/>
      <c r="B2" s="89"/>
      <c r="C2" s="90"/>
      <c r="D2" s="90"/>
      <c r="E2" s="90"/>
      <c r="F2" s="91"/>
      <c r="G2" s="92"/>
    </row>
    <row r="3" spans="1:7" x14ac:dyDescent="0.3">
      <c r="A3" s="93"/>
      <c r="B3" s="94"/>
      <c r="C3" s="95"/>
      <c r="D3" s="95"/>
      <c r="E3" s="95"/>
      <c r="F3" s="96"/>
      <c r="G3" s="97"/>
    </row>
    <row r="4" spans="1:7" x14ac:dyDescent="0.3">
      <c r="A4" s="93"/>
      <c r="B4" s="94"/>
      <c r="C4" s="95"/>
      <c r="D4" s="95"/>
      <c r="E4" s="95"/>
      <c r="F4" s="96"/>
      <c r="G4" s="97"/>
    </row>
    <row r="5" spans="1:7" x14ac:dyDescent="0.3">
      <c r="A5" s="93"/>
      <c r="B5" s="94"/>
      <c r="C5" s="95"/>
      <c r="D5" s="95"/>
      <c r="E5" s="95"/>
      <c r="F5" s="96"/>
      <c r="G5" s="97"/>
    </row>
    <row r="6" spans="1:7" x14ac:dyDescent="0.3">
      <c r="A6" s="93"/>
      <c r="B6" s="94"/>
      <c r="C6" s="95"/>
      <c r="D6" s="95"/>
      <c r="E6" s="95"/>
      <c r="F6" s="96"/>
      <c r="G6" s="97"/>
    </row>
    <row r="7" spans="1:7" x14ac:dyDescent="0.3">
      <c r="A7" s="93"/>
      <c r="B7" s="94"/>
      <c r="C7" s="95"/>
      <c r="D7" s="95"/>
      <c r="E7" s="95"/>
      <c r="F7" s="96"/>
      <c r="G7" s="97"/>
    </row>
    <row r="8" spans="1:7" x14ac:dyDescent="0.3">
      <c r="A8" s="93"/>
      <c r="B8" s="94"/>
      <c r="C8" s="95"/>
      <c r="D8" s="95"/>
      <c r="E8" s="95"/>
      <c r="F8" s="96"/>
      <c r="G8" s="97"/>
    </row>
    <row r="9" spans="1:7" x14ac:dyDescent="0.3">
      <c r="A9" s="93"/>
      <c r="B9" s="94"/>
      <c r="C9" s="98"/>
      <c r="D9" s="95"/>
      <c r="E9" s="95"/>
      <c r="F9" s="96"/>
      <c r="G9" s="97"/>
    </row>
    <row r="10" spans="1:7" x14ac:dyDescent="0.3">
      <c r="A10" s="93"/>
      <c r="B10" s="95"/>
      <c r="C10" s="95"/>
      <c r="D10" s="95"/>
      <c r="E10" s="95"/>
      <c r="F10" s="96"/>
      <c r="G10" s="97"/>
    </row>
    <row r="11" spans="1:7" x14ac:dyDescent="0.3">
      <c r="A11" s="93"/>
      <c r="B11" s="95"/>
      <c r="C11" s="95"/>
      <c r="D11" s="95"/>
      <c r="E11" s="95"/>
      <c r="F11" s="96"/>
      <c r="G11" s="97"/>
    </row>
    <row r="12" spans="1:7" x14ac:dyDescent="0.3">
      <c r="A12" s="93"/>
      <c r="B12" s="95"/>
      <c r="C12" s="95"/>
      <c r="D12" s="95"/>
      <c r="E12" s="95"/>
      <c r="F12" s="96"/>
      <c r="G12" s="97"/>
    </row>
    <row r="13" spans="1:7" x14ac:dyDescent="0.3">
      <c r="A13" s="93"/>
      <c r="B13" s="95"/>
      <c r="C13" s="95"/>
      <c r="D13" s="95"/>
      <c r="E13" s="95"/>
      <c r="F13" s="96"/>
      <c r="G13" s="97"/>
    </row>
    <row r="14" spans="1:7" x14ac:dyDescent="0.3">
      <c r="A14" s="93"/>
      <c r="B14" s="95"/>
      <c r="C14" s="95"/>
      <c r="D14" s="95"/>
      <c r="E14" s="95"/>
      <c r="F14" s="96"/>
      <c r="G14" s="97"/>
    </row>
    <row r="15" spans="1:7" x14ac:dyDescent="0.3">
      <c r="A15" s="93"/>
      <c r="B15" s="95"/>
      <c r="C15" s="95"/>
      <c r="D15" s="95"/>
      <c r="E15" s="95"/>
      <c r="F15" s="96"/>
      <c r="G15" s="97"/>
    </row>
    <row r="16" spans="1:7" x14ac:dyDescent="0.3">
      <c r="A16" s="93"/>
      <c r="B16" s="95"/>
      <c r="C16" s="95"/>
      <c r="D16" s="95"/>
      <c r="E16" s="95"/>
      <c r="F16" s="96"/>
      <c r="G16" s="97"/>
    </row>
    <row r="17" spans="1:7" x14ac:dyDescent="0.3">
      <c r="A17" s="99"/>
      <c r="B17" s="95"/>
      <c r="C17" s="95"/>
      <c r="D17" s="95"/>
      <c r="E17" s="95"/>
      <c r="F17" s="96"/>
      <c r="G17" s="97"/>
    </row>
    <row r="18" spans="1:7" x14ac:dyDescent="0.3">
      <c r="A18" s="93"/>
      <c r="B18" s="95"/>
      <c r="C18" s="95"/>
      <c r="D18" s="95"/>
      <c r="E18" s="95"/>
      <c r="F18" s="96"/>
      <c r="G18" s="97"/>
    </row>
    <row r="19" spans="1:7" x14ac:dyDescent="0.3">
      <c r="A19" s="93"/>
      <c r="B19" s="95"/>
      <c r="C19" s="95"/>
      <c r="D19" s="95"/>
      <c r="E19" s="95"/>
      <c r="F19" s="96"/>
      <c r="G19" s="97"/>
    </row>
    <row r="20" spans="1:7" x14ac:dyDescent="0.3">
      <c r="A20" s="93"/>
      <c r="B20" s="95"/>
      <c r="C20" s="95"/>
      <c r="D20" s="95"/>
      <c r="E20" s="95"/>
      <c r="F20" s="96"/>
      <c r="G20" s="97"/>
    </row>
    <row r="21" spans="1:7" x14ac:dyDescent="0.3">
      <c r="A21" s="93"/>
      <c r="B21" s="95"/>
      <c r="C21" s="95"/>
      <c r="D21" s="95"/>
      <c r="E21" s="95"/>
      <c r="F21" s="96"/>
      <c r="G21" s="97"/>
    </row>
    <row r="22" spans="1:7" x14ac:dyDescent="0.3">
      <c r="A22" s="93"/>
      <c r="B22" s="95"/>
      <c r="C22" s="95"/>
      <c r="D22" s="95"/>
      <c r="E22" s="95"/>
      <c r="F22" s="96"/>
      <c r="G22" s="97"/>
    </row>
    <row r="23" spans="1:7" x14ac:dyDescent="0.3">
      <c r="A23" s="93"/>
      <c r="B23" s="95"/>
      <c r="C23" s="95"/>
      <c r="D23" s="95"/>
      <c r="E23" s="95"/>
      <c r="F23" s="96"/>
      <c r="G23" s="97"/>
    </row>
    <row r="24" spans="1:7" x14ac:dyDescent="0.3">
      <c r="A24" s="93"/>
      <c r="B24" s="95"/>
      <c r="C24" s="95"/>
      <c r="D24" s="95"/>
      <c r="E24" s="95"/>
      <c r="F24" s="96"/>
      <c r="G24" s="97"/>
    </row>
    <row r="25" spans="1:7" x14ac:dyDescent="0.3">
      <c r="A25" s="93"/>
      <c r="B25" s="95"/>
      <c r="C25" s="95"/>
      <c r="D25" s="95"/>
      <c r="E25" s="95"/>
      <c r="F25" s="96"/>
      <c r="G25" s="97"/>
    </row>
    <row r="26" spans="1:7" x14ac:dyDescent="0.3">
      <c r="A26" s="93"/>
      <c r="B26" s="95"/>
      <c r="C26" s="95"/>
      <c r="D26" s="95"/>
      <c r="E26" s="95"/>
      <c r="F26" s="96"/>
      <c r="G26" s="97"/>
    </row>
    <row r="27" spans="1:7" x14ac:dyDescent="0.3">
      <c r="A27" s="93"/>
      <c r="B27" s="95"/>
      <c r="C27" s="95"/>
      <c r="D27" s="95"/>
      <c r="E27" s="95"/>
      <c r="F27" s="96"/>
      <c r="G27" s="97"/>
    </row>
    <row r="28" spans="1:7" x14ac:dyDescent="0.3">
      <c r="A28" s="93"/>
      <c r="B28" s="95"/>
      <c r="C28" s="95"/>
      <c r="D28" s="95"/>
      <c r="E28" s="95"/>
      <c r="F28" s="96"/>
      <c r="G28" s="97"/>
    </row>
    <row r="29" spans="1:7" x14ac:dyDescent="0.3">
      <c r="A29" s="93"/>
      <c r="B29" s="95"/>
      <c r="C29" s="95"/>
      <c r="D29" s="95"/>
      <c r="E29" s="95"/>
      <c r="F29" s="96"/>
      <c r="G29" s="97"/>
    </row>
    <row r="30" spans="1:7" x14ac:dyDescent="0.3">
      <c r="A30" s="93"/>
      <c r="B30" s="95"/>
      <c r="C30" s="95"/>
      <c r="D30" s="95"/>
      <c r="E30" s="95"/>
      <c r="F30" s="96"/>
      <c r="G30" s="97"/>
    </row>
    <row r="31" spans="1:7" x14ac:dyDescent="0.3">
      <c r="A31" s="93"/>
      <c r="B31" s="95"/>
      <c r="C31" s="95"/>
      <c r="D31" s="95"/>
      <c r="E31" s="95"/>
      <c r="F31" s="96"/>
      <c r="G31" s="97"/>
    </row>
    <row r="32" spans="1:7" x14ac:dyDescent="0.3">
      <c r="A32" s="93"/>
      <c r="B32" s="95"/>
      <c r="C32" s="95"/>
      <c r="D32" s="95"/>
      <c r="E32" s="98"/>
      <c r="F32" s="96"/>
      <c r="G32" s="97"/>
    </row>
    <row r="33" spans="1:7" x14ac:dyDescent="0.3">
      <c r="A33" s="93"/>
      <c r="B33" s="95"/>
      <c r="C33" s="95"/>
      <c r="D33" s="95"/>
      <c r="E33" s="95"/>
      <c r="F33" s="96"/>
      <c r="G33" s="97"/>
    </row>
    <row r="34" spans="1:7" x14ac:dyDescent="0.3">
      <c r="A34" s="93"/>
      <c r="B34" s="95"/>
      <c r="C34" s="95"/>
      <c r="D34" s="95"/>
      <c r="E34" s="95"/>
      <c r="F34" s="96"/>
      <c r="G34" s="97"/>
    </row>
    <row r="35" spans="1:7" x14ac:dyDescent="0.3">
      <c r="A35" s="93"/>
      <c r="B35" s="95"/>
      <c r="C35" s="95"/>
      <c r="D35" s="95"/>
      <c r="E35" s="95"/>
      <c r="F35" s="96"/>
      <c r="G35" s="97"/>
    </row>
    <row r="36" spans="1:7" x14ac:dyDescent="0.3">
      <c r="A36" s="93"/>
      <c r="B36" s="95"/>
      <c r="C36" s="95"/>
      <c r="D36" s="95"/>
      <c r="E36" s="95"/>
      <c r="F36" s="96"/>
      <c r="G36" s="97"/>
    </row>
    <row r="37" spans="1:7" x14ac:dyDescent="0.3">
      <c r="A37" s="93"/>
      <c r="B37" s="95"/>
      <c r="C37" s="95"/>
      <c r="D37" s="95"/>
      <c r="E37" s="95"/>
      <c r="F37" s="96"/>
      <c r="G37" s="97"/>
    </row>
    <row r="38" spans="1:7" x14ac:dyDescent="0.3">
      <c r="A38" s="93"/>
      <c r="B38" s="95"/>
      <c r="C38" s="95"/>
      <c r="D38" s="95"/>
      <c r="E38" s="95"/>
      <c r="F38" s="96"/>
      <c r="G38" s="97"/>
    </row>
    <row r="39" spans="1:7" x14ac:dyDescent="0.3">
      <c r="A39" s="93"/>
      <c r="B39" s="95"/>
      <c r="C39" s="95"/>
      <c r="D39" s="95"/>
      <c r="E39" s="95"/>
      <c r="F39" s="96"/>
      <c r="G39" s="97"/>
    </row>
    <row r="40" spans="1:7" x14ac:dyDescent="0.3">
      <c r="A40" s="93"/>
      <c r="B40" s="95"/>
      <c r="C40" s="95"/>
      <c r="D40" s="95"/>
      <c r="E40" s="95"/>
      <c r="F40" s="96"/>
      <c r="G40" s="97"/>
    </row>
    <row r="41" spans="1:7" x14ac:dyDescent="0.3">
      <c r="A41" s="93"/>
      <c r="B41" s="95"/>
      <c r="C41" s="95"/>
      <c r="D41" s="95"/>
      <c r="E41" s="95"/>
      <c r="F41" s="96"/>
      <c r="G41" s="97"/>
    </row>
    <row r="42" spans="1:7" x14ac:dyDescent="0.3">
      <c r="A42" s="93"/>
      <c r="B42" s="95"/>
      <c r="C42" s="95"/>
      <c r="D42" s="95"/>
      <c r="E42" s="95"/>
      <c r="F42" s="96"/>
      <c r="G42" s="97"/>
    </row>
    <row r="43" spans="1:7" x14ac:dyDescent="0.3">
      <c r="A43" s="93"/>
      <c r="B43" s="95"/>
      <c r="C43" s="95"/>
      <c r="D43" s="95"/>
      <c r="E43" s="95"/>
      <c r="F43" s="96"/>
      <c r="G43" s="97"/>
    </row>
    <row r="44" spans="1:7" x14ac:dyDescent="0.3">
      <c r="A44" s="93"/>
      <c r="B44" s="95"/>
      <c r="C44" s="95"/>
      <c r="D44" s="95"/>
      <c r="E44" s="95"/>
      <c r="F44" s="96"/>
      <c r="G44" s="97"/>
    </row>
    <row r="45" spans="1:7" x14ac:dyDescent="0.3">
      <c r="A45" s="93"/>
      <c r="B45" s="95"/>
      <c r="C45" s="95"/>
      <c r="D45" s="95"/>
      <c r="E45" s="95"/>
      <c r="F45" s="97"/>
      <c r="G45" s="97"/>
    </row>
    <row r="46" spans="1:7" x14ac:dyDescent="0.3">
      <c r="A46" s="93"/>
      <c r="B46" s="95"/>
      <c r="C46" s="95"/>
      <c r="D46" s="95"/>
      <c r="E46" s="95"/>
      <c r="F46" s="97"/>
      <c r="G46" s="97"/>
    </row>
    <row r="47" spans="1:7" x14ac:dyDescent="0.3">
      <c r="A47" s="93"/>
      <c r="B47" s="95"/>
      <c r="C47" s="95"/>
      <c r="D47" s="95"/>
      <c r="E47" s="95"/>
      <c r="F47" s="97"/>
      <c r="G47" s="97"/>
    </row>
    <row r="48" spans="1:7" x14ac:dyDescent="0.3">
      <c r="A48" s="93"/>
      <c r="B48" s="95"/>
      <c r="C48" s="95"/>
      <c r="D48" s="95"/>
      <c r="E48" s="95"/>
      <c r="F48" s="97"/>
      <c r="G48" s="97"/>
    </row>
    <row r="49" spans="1:7" x14ac:dyDescent="0.3">
      <c r="A49" s="93"/>
      <c r="B49" s="95"/>
      <c r="C49" s="95"/>
      <c r="D49" s="95"/>
      <c r="E49" s="95"/>
      <c r="F49" s="97"/>
      <c r="G49" s="97"/>
    </row>
    <row r="50" spans="1:7" x14ac:dyDescent="0.3">
      <c r="A50" s="93"/>
      <c r="B50" s="95"/>
      <c r="C50" s="95"/>
      <c r="D50" s="95"/>
      <c r="E50" s="95"/>
      <c r="F50" s="97"/>
      <c r="G50" s="97"/>
    </row>
    <row r="51" spans="1:7" x14ac:dyDescent="0.3">
      <c r="A51" s="93"/>
      <c r="B51" s="95"/>
      <c r="C51" s="95"/>
      <c r="D51" s="95"/>
      <c r="E51" s="95"/>
      <c r="F51" s="97"/>
      <c r="G51" s="97"/>
    </row>
    <row r="52" spans="1:7" x14ac:dyDescent="0.3">
      <c r="A52" s="93"/>
      <c r="B52" s="95"/>
      <c r="C52" s="95"/>
      <c r="D52" s="95"/>
      <c r="E52" s="95"/>
      <c r="F52" s="96"/>
      <c r="G52" s="97"/>
    </row>
    <row r="53" spans="1:7" x14ac:dyDescent="0.3">
      <c r="A53" s="93"/>
      <c r="B53" s="95"/>
      <c r="C53" s="95"/>
      <c r="D53" s="95"/>
      <c r="E53" s="95"/>
      <c r="F53" s="97"/>
      <c r="G53" s="97"/>
    </row>
    <row r="54" spans="1:7" x14ac:dyDescent="0.3">
      <c r="A54" s="93"/>
      <c r="B54" s="95"/>
      <c r="C54" s="95"/>
      <c r="D54" s="95"/>
      <c r="E54" s="95"/>
      <c r="F54" s="97"/>
      <c r="G54" s="97"/>
    </row>
    <row r="55" spans="1:7" x14ac:dyDescent="0.3">
      <c r="A55" s="93"/>
      <c r="B55" s="95"/>
      <c r="C55" s="95"/>
      <c r="D55" s="95"/>
      <c r="E55" s="95"/>
      <c r="F55" s="97"/>
      <c r="G55" s="97"/>
    </row>
    <row r="56" spans="1:7" x14ac:dyDescent="0.3">
      <c r="A56" s="93"/>
      <c r="B56" s="95"/>
      <c r="C56" s="95"/>
      <c r="D56" s="95"/>
      <c r="E56" s="95"/>
      <c r="F56" s="97"/>
      <c r="G56" s="97"/>
    </row>
    <row r="57" spans="1:7" x14ac:dyDescent="0.3">
      <c r="A57" s="93"/>
      <c r="B57" s="95"/>
      <c r="C57" s="95"/>
      <c r="D57" s="95"/>
      <c r="E57" s="95"/>
      <c r="F57" s="97"/>
      <c r="G57" s="97"/>
    </row>
    <row r="58" spans="1:7" x14ac:dyDescent="0.3">
      <c r="A58" s="93"/>
      <c r="B58" s="95"/>
      <c r="C58" s="95"/>
      <c r="D58" s="95"/>
      <c r="E58" s="95"/>
      <c r="F58" s="97"/>
      <c r="G58" s="97"/>
    </row>
    <row r="59" spans="1:7" x14ac:dyDescent="0.3">
      <c r="A59" s="93"/>
      <c r="B59" s="95"/>
      <c r="C59" s="95"/>
      <c r="D59" s="95"/>
      <c r="E59" s="95"/>
      <c r="F59" s="97"/>
      <c r="G59" s="97"/>
    </row>
    <row r="60" spans="1:7" x14ac:dyDescent="0.3">
      <c r="A60" s="93"/>
      <c r="B60" s="95"/>
      <c r="C60" s="95"/>
      <c r="D60" s="95"/>
      <c r="E60" s="95"/>
      <c r="F60" s="97"/>
      <c r="G60" s="97"/>
    </row>
    <row r="61" spans="1:7" x14ac:dyDescent="0.3">
      <c r="A61" s="93"/>
      <c r="B61" s="95"/>
      <c r="C61" s="95"/>
      <c r="D61" s="95"/>
      <c r="E61" s="95"/>
      <c r="F61" s="97"/>
      <c r="G61" s="97"/>
    </row>
    <row r="62" spans="1:7" x14ac:dyDescent="0.3">
      <c r="A62" s="93"/>
      <c r="B62" s="95"/>
      <c r="C62" s="95"/>
      <c r="D62" s="95"/>
      <c r="E62" s="95"/>
      <c r="F62" s="97"/>
      <c r="G62" s="97"/>
    </row>
    <row r="63" spans="1:7" x14ac:dyDescent="0.3">
      <c r="A63" s="93"/>
      <c r="B63" s="95"/>
      <c r="C63" s="95"/>
      <c r="D63" s="95"/>
      <c r="E63" s="95"/>
      <c r="F63" s="97"/>
      <c r="G63" s="97"/>
    </row>
    <row r="64" spans="1:7" x14ac:dyDescent="0.3">
      <c r="A64" s="102"/>
      <c r="B64" s="103"/>
      <c r="C64" s="103"/>
      <c r="D64" s="103"/>
      <c r="E64" s="103"/>
      <c r="F64" s="104"/>
      <c r="G64" s="104"/>
    </row>
    <row r="65" spans="1:7" x14ac:dyDescent="0.3">
      <c r="A65" s="102"/>
      <c r="B65" s="103"/>
      <c r="C65" s="103"/>
      <c r="D65" s="103"/>
      <c r="E65" s="103"/>
      <c r="F65" s="104"/>
      <c r="G65" s="104"/>
    </row>
    <row r="66" spans="1:7" x14ac:dyDescent="0.3">
      <c r="A66" s="102"/>
      <c r="B66" s="103"/>
      <c r="C66" s="103"/>
      <c r="D66" s="103"/>
      <c r="E66" s="103"/>
      <c r="F66" s="104"/>
      <c r="G66" s="104"/>
    </row>
    <row r="67" spans="1:7" x14ac:dyDescent="0.3">
      <c r="A67" s="102"/>
      <c r="B67" s="103"/>
      <c r="C67" s="103"/>
      <c r="D67" s="103"/>
      <c r="E67" s="103"/>
      <c r="F67" s="104"/>
      <c r="G67" s="104"/>
    </row>
    <row r="68" spans="1:7" x14ac:dyDescent="0.3">
      <c r="A68" s="102"/>
      <c r="B68" s="103"/>
      <c r="C68" s="103"/>
      <c r="D68" s="103"/>
      <c r="E68" s="103"/>
      <c r="F68" s="104"/>
      <c r="G68" s="104"/>
    </row>
    <row r="69" spans="1:7" x14ac:dyDescent="0.3">
      <c r="A69" s="102"/>
      <c r="B69" s="103"/>
      <c r="C69" s="103"/>
      <c r="D69" s="103"/>
      <c r="E69" s="103"/>
      <c r="F69" s="104"/>
      <c r="G69" s="104"/>
    </row>
    <row r="70" spans="1:7" x14ac:dyDescent="0.3">
      <c r="A70" s="102"/>
      <c r="B70" s="103"/>
      <c r="C70" s="103"/>
      <c r="D70" s="103"/>
      <c r="E70" s="103"/>
      <c r="F70" s="104"/>
      <c r="G70" s="104"/>
    </row>
    <row r="71" spans="1:7" x14ac:dyDescent="0.3">
      <c r="A71" s="102"/>
      <c r="B71" s="103"/>
      <c r="C71" s="103"/>
      <c r="D71" s="103"/>
      <c r="E71" s="103"/>
      <c r="F71" s="104"/>
      <c r="G71" s="104"/>
    </row>
    <row r="72" spans="1:7" x14ac:dyDescent="0.3">
      <c r="A72" s="102"/>
      <c r="B72" s="103"/>
      <c r="C72" s="103"/>
      <c r="D72" s="103"/>
      <c r="E72" s="103"/>
      <c r="F72" s="104"/>
      <c r="G72" s="104"/>
    </row>
    <row r="73" spans="1:7" x14ac:dyDescent="0.3">
      <c r="A73" s="102"/>
      <c r="B73" s="103"/>
      <c r="C73" s="103"/>
      <c r="D73" s="103"/>
      <c r="E73" s="103"/>
      <c r="F73" s="104"/>
      <c r="G73" s="104"/>
    </row>
    <row r="74" spans="1:7" x14ac:dyDescent="0.3">
      <c r="A74" s="102"/>
      <c r="B74" s="103"/>
      <c r="C74" s="103"/>
      <c r="D74" s="103"/>
      <c r="E74" s="103"/>
      <c r="F74" s="104"/>
      <c r="G74" s="104"/>
    </row>
    <row r="75" spans="1:7" x14ac:dyDescent="0.3">
      <c r="A75" s="102"/>
      <c r="B75" s="103"/>
      <c r="C75" s="103"/>
      <c r="D75" s="103"/>
      <c r="E75" s="103"/>
      <c r="F75" s="104"/>
      <c r="G75" s="104"/>
    </row>
    <row r="76" spans="1:7" x14ac:dyDescent="0.3">
      <c r="A76" s="102"/>
      <c r="B76" s="103"/>
      <c r="C76" s="103"/>
      <c r="D76" s="103"/>
      <c r="E76" s="103"/>
      <c r="F76" s="104"/>
      <c r="G76" s="104"/>
    </row>
    <row r="77" spans="1:7" x14ac:dyDescent="0.3">
      <c r="A77" s="102"/>
      <c r="B77" s="103"/>
      <c r="C77" s="103"/>
      <c r="D77" s="103"/>
      <c r="E77" s="103"/>
      <c r="F77" s="104"/>
      <c r="G77" s="104"/>
    </row>
    <row r="78" spans="1:7" x14ac:dyDescent="0.3">
      <c r="A78" s="102"/>
      <c r="B78" s="103"/>
      <c r="C78" s="103"/>
      <c r="D78" s="103"/>
      <c r="E78" s="103"/>
      <c r="F78" s="104"/>
      <c r="G78" s="104"/>
    </row>
    <row r="79" spans="1:7" x14ac:dyDescent="0.3">
      <c r="A79" s="102"/>
      <c r="B79" s="103"/>
      <c r="C79" s="103"/>
      <c r="D79" s="103"/>
      <c r="E79" s="103"/>
      <c r="F79" s="104"/>
      <c r="G79" s="104"/>
    </row>
    <row r="80" spans="1:7" x14ac:dyDescent="0.3">
      <c r="A80" s="102"/>
      <c r="B80" s="103"/>
      <c r="C80" s="103"/>
      <c r="D80" s="103"/>
      <c r="E80" s="103"/>
      <c r="F80" s="104"/>
      <c r="G80" s="104"/>
    </row>
    <row r="81" spans="1:7" x14ac:dyDescent="0.3">
      <c r="A81" s="102"/>
      <c r="B81" s="103"/>
      <c r="C81" s="103"/>
      <c r="D81" s="103"/>
      <c r="E81" s="103"/>
      <c r="F81" s="104"/>
      <c r="G81" s="104"/>
    </row>
    <row r="82" spans="1:7" x14ac:dyDescent="0.3">
      <c r="A82" s="102"/>
      <c r="B82" s="103"/>
      <c r="C82" s="103"/>
      <c r="D82" s="103"/>
      <c r="E82" s="103"/>
      <c r="F82" s="104"/>
      <c r="G82" s="104"/>
    </row>
    <row r="83" spans="1:7" x14ac:dyDescent="0.3">
      <c r="A83" s="102"/>
      <c r="B83" s="103"/>
      <c r="C83" s="103"/>
      <c r="D83" s="103"/>
      <c r="E83" s="103"/>
      <c r="F83" s="104"/>
      <c r="G83" s="104"/>
    </row>
    <row r="84" spans="1:7" x14ac:dyDescent="0.3">
      <c r="A84" s="102"/>
      <c r="B84" s="103"/>
      <c r="C84" s="103"/>
      <c r="D84" s="103"/>
      <c r="E84" s="103"/>
      <c r="F84" s="104"/>
      <c r="G84" s="104"/>
    </row>
    <row r="85" spans="1:7" x14ac:dyDescent="0.3">
      <c r="A85" s="102"/>
      <c r="B85" s="103"/>
      <c r="C85" s="103"/>
      <c r="D85" s="103"/>
      <c r="E85" s="103"/>
      <c r="F85" s="104"/>
      <c r="G85" s="104"/>
    </row>
    <row r="86" spans="1:7" x14ac:dyDescent="0.3">
      <c r="A86" s="102"/>
      <c r="B86" s="103"/>
      <c r="C86" s="103"/>
      <c r="D86" s="103"/>
      <c r="E86" s="103"/>
      <c r="F86" s="104"/>
      <c r="G86" s="104"/>
    </row>
    <row r="87" spans="1:7" x14ac:dyDescent="0.3">
      <c r="A87" s="102"/>
      <c r="B87" s="103"/>
      <c r="C87" s="103"/>
      <c r="D87" s="103"/>
      <c r="E87" s="103"/>
      <c r="F87" s="104"/>
      <c r="G87" s="104"/>
    </row>
    <row r="88" spans="1:7" x14ac:dyDescent="0.3">
      <c r="A88" s="102"/>
      <c r="B88" s="103"/>
      <c r="C88" s="103"/>
      <c r="D88" s="103"/>
      <c r="E88" s="103"/>
      <c r="F88" s="104"/>
      <c r="G88" s="104"/>
    </row>
    <row r="89" spans="1:7" x14ac:dyDescent="0.3">
      <c r="A89" s="102"/>
      <c r="B89" s="103"/>
      <c r="C89" s="103"/>
      <c r="D89" s="103"/>
      <c r="E89" s="103"/>
      <c r="F89" s="104"/>
      <c r="G89" s="104"/>
    </row>
    <row r="90" spans="1:7" x14ac:dyDescent="0.3">
      <c r="A90" s="102"/>
      <c r="B90" s="103"/>
      <c r="C90" s="103"/>
      <c r="D90" s="103"/>
      <c r="E90" s="103"/>
      <c r="F90" s="104"/>
      <c r="G90" s="104"/>
    </row>
    <row r="91" spans="1:7" x14ac:dyDescent="0.3">
      <c r="A91" s="102"/>
      <c r="B91" s="103"/>
      <c r="C91" s="103"/>
      <c r="D91" s="103"/>
      <c r="E91" s="103"/>
      <c r="F91" s="104"/>
      <c r="G91" s="104"/>
    </row>
    <row r="92" spans="1:7" x14ac:dyDescent="0.3">
      <c r="A92" s="102"/>
      <c r="B92" s="103"/>
      <c r="C92" s="103"/>
      <c r="D92" s="103"/>
      <c r="E92" s="103"/>
      <c r="F92" s="104"/>
      <c r="G92" s="104"/>
    </row>
    <row r="93" spans="1:7" x14ac:dyDescent="0.3">
      <c r="A93" s="102"/>
      <c r="B93" s="103"/>
      <c r="C93" s="103"/>
      <c r="D93" s="103"/>
      <c r="E93" s="103"/>
      <c r="F93" s="104"/>
      <c r="G93" s="104"/>
    </row>
    <row r="94" spans="1:7" x14ac:dyDescent="0.3">
      <c r="A94" s="102"/>
      <c r="B94" s="103"/>
      <c r="C94" s="103"/>
      <c r="D94" s="103"/>
      <c r="E94" s="103"/>
      <c r="F94" s="104"/>
      <c r="G94" s="104"/>
    </row>
    <row r="95" spans="1:7" x14ac:dyDescent="0.3">
      <c r="A95" s="102"/>
      <c r="B95" s="103"/>
      <c r="C95" s="103"/>
      <c r="D95" s="103"/>
      <c r="E95" s="103"/>
      <c r="F95" s="104"/>
      <c r="G95" s="104"/>
    </row>
    <row r="96" spans="1:7" x14ac:dyDescent="0.3">
      <c r="A96" s="102"/>
      <c r="B96" s="103"/>
      <c r="C96" s="103"/>
      <c r="D96" s="103"/>
      <c r="E96" s="103"/>
      <c r="F96" s="104"/>
      <c r="G96" s="104"/>
    </row>
    <row r="97" spans="1:7" x14ac:dyDescent="0.3">
      <c r="A97" s="102"/>
      <c r="B97" s="103"/>
      <c r="C97" s="103"/>
      <c r="D97" s="103"/>
      <c r="E97" s="103"/>
      <c r="F97" s="104"/>
      <c r="G97" s="104"/>
    </row>
    <row r="98" spans="1:7" x14ac:dyDescent="0.3">
      <c r="A98" s="102"/>
      <c r="B98" s="103"/>
      <c r="C98" s="103"/>
      <c r="D98" s="103"/>
      <c r="E98" s="103"/>
      <c r="F98" s="104"/>
      <c r="G98" s="104"/>
    </row>
    <row r="99" spans="1:7" x14ac:dyDescent="0.3">
      <c r="A99" s="102"/>
      <c r="B99" s="103"/>
      <c r="C99" s="103"/>
      <c r="D99" s="103"/>
      <c r="E99" s="103"/>
      <c r="F99" s="104"/>
      <c r="G99" s="104"/>
    </row>
    <row r="100" spans="1:7" x14ac:dyDescent="0.3">
      <c r="A100" s="102"/>
      <c r="B100" s="103"/>
      <c r="C100" s="103"/>
      <c r="D100" s="103"/>
      <c r="E100" s="103"/>
      <c r="F100" s="104"/>
      <c r="G100" s="104"/>
    </row>
    <row r="101" spans="1:7" x14ac:dyDescent="0.3">
      <c r="A101" s="105"/>
      <c r="B101" s="106"/>
      <c r="C101" s="106"/>
      <c r="D101" s="106"/>
      <c r="E101" s="106"/>
      <c r="F101" s="107"/>
      <c r="G101" s="107"/>
    </row>
    <row r="102" spans="1:7" x14ac:dyDescent="0.3">
      <c r="B102" s="108"/>
      <c r="C102" s="108"/>
      <c r="D102" s="108"/>
      <c r="E102" s="109"/>
    </row>
    <row r="103" spans="1:7" x14ac:dyDescent="0.3">
      <c r="B103" s="108"/>
      <c r="C103" s="108"/>
      <c r="D103" s="108"/>
      <c r="E103" s="109"/>
    </row>
    <row r="104" spans="1:7" x14ac:dyDescent="0.3">
      <c r="B104" s="108"/>
      <c r="C104" s="108"/>
      <c r="D104" s="108"/>
      <c r="E104" s="109"/>
    </row>
    <row r="105" spans="1:7" x14ac:dyDescent="0.3">
      <c r="B105" s="108"/>
      <c r="C105" s="108"/>
      <c r="D105" s="108"/>
      <c r="E105" s="109"/>
    </row>
    <row r="106" spans="1:7" x14ac:dyDescent="0.3">
      <c r="B106" s="108"/>
      <c r="C106" s="108"/>
      <c r="D106" s="108"/>
      <c r="E106" s="109"/>
    </row>
    <row r="107" spans="1:7" x14ac:dyDescent="0.3">
      <c r="B107" s="108"/>
      <c r="C107" s="108"/>
      <c r="D107" s="108"/>
      <c r="E107" s="109"/>
    </row>
    <row r="108" spans="1:7" x14ac:dyDescent="0.3">
      <c r="B108" s="108"/>
      <c r="C108" s="108"/>
      <c r="D108" s="108"/>
      <c r="E108" s="109"/>
    </row>
    <row r="109" spans="1:7" x14ac:dyDescent="0.3">
      <c r="B109" s="108"/>
      <c r="C109" s="108"/>
      <c r="D109" s="108"/>
      <c r="E109" s="109"/>
    </row>
    <row r="110" spans="1:7" x14ac:dyDescent="0.3">
      <c r="B110" s="108"/>
      <c r="C110" s="108"/>
      <c r="D110" s="108"/>
      <c r="E110" s="109"/>
    </row>
    <row r="111" spans="1:7" x14ac:dyDescent="0.3">
      <c r="B111" s="108"/>
      <c r="C111" s="108"/>
      <c r="D111" s="108"/>
      <c r="E111" s="109"/>
    </row>
    <row r="112" spans="1:7" x14ac:dyDescent="0.3">
      <c r="B112" s="108"/>
      <c r="C112" s="108"/>
      <c r="D112" s="108"/>
      <c r="E112" s="109"/>
    </row>
    <row r="113" spans="2:5" x14ac:dyDescent="0.3">
      <c r="B113" s="108"/>
      <c r="C113" s="108"/>
      <c r="D113" s="108"/>
      <c r="E113" s="109"/>
    </row>
    <row r="114" spans="2:5" x14ac:dyDescent="0.3">
      <c r="B114" s="108"/>
      <c r="C114" s="108"/>
      <c r="D114" s="108"/>
      <c r="E114" s="109"/>
    </row>
    <row r="115" spans="2:5" x14ac:dyDescent="0.3">
      <c r="B115" s="108"/>
      <c r="C115" s="108"/>
      <c r="D115" s="108"/>
      <c r="E115" s="109"/>
    </row>
    <row r="116" spans="2:5" x14ac:dyDescent="0.3">
      <c r="B116" s="108"/>
      <c r="C116" s="108"/>
      <c r="D116" s="108"/>
      <c r="E116" s="109"/>
    </row>
    <row r="117" spans="2:5" x14ac:dyDescent="0.3">
      <c r="B117" s="108"/>
      <c r="C117" s="108"/>
      <c r="D117" s="108"/>
      <c r="E117" s="109"/>
    </row>
    <row r="118" spans="2:5" x14ac:dyDescent="0.3">
      <c r="B118" s="108"/>
      <c r="C118" s="108"/>
      <c r="D118" s="108"/>
      <c r="E118" s="109"/>
    </row>
    <row r="119" spans="2:5" x14ac:dyDescent="0.3">
      <c r="B119" s="108"/>
      <c r="C119" s="108"/>
      <c r="D119" s="108"/>
      <c r="E119" s="109"/>
    </row>
    <row r="120" spans="2:5" x14ac:dyDescent="0.3">
      <c r="B120" s="108"/>
      <c r="C120" s="108"/>
      <c r="D120" s="108"/>
      <c r="E120" s="109"/>
    </row>
    <row r="121" spans="2:5" x14ac:dyDescent="0.3">
      <c r="B121" s="108"/>
      <c r="C121" s="108"/>
      <c r="D121" s="108"/>
      <c r="E121" s="109"/>
    </row>
    <row r="122" spans="2:5" x14ac:dyDescent="0.3">
      <c r="B122" s="108"/>
      <c r="C122" s="108"/>
      <c r="D122" s="108"/>
      <c r="E122" s="109"/>
    </row>
    <row r="123" spans="2:5" x14ac:dyDescent="0.3">
      <c r="B123" s="108"/>
      <c r="C123" s="108"/>
      <c r="D123" s="108"/>
      <c r="E123" s="109"/>
    </row>
    <row r="124" spans="2:5" x14ac:dyDescent="0.3">
      <c r="B124" s="108"/>
      <c r="C124" s="108"/>
      <c r="D124" s="108"/>
      <c r="E124" s="109"/>
    </row>
    <row r="125" spans="2:5" x14ac:dyDescent="0.3">
      <c r="B125" s="108"/>
      <c r="C125" s="108"/>
      <c r="D125" s="108"/>
      <c r="E125" s="109"/>
    </row>
    <row r="126" spans="2:5" x14ac:dyDescent="0.3">
      <c r="B126" s="108"/>
      <c r="C126" s="108"/>
      <c r="D126" s="108"/>
      <c r="E126" s="109"/>
    </row>
    <row r="127" spans="2:5" x14ac:dyDescent="0.3">
      <c r="B127" s="108"/>
      <c r="C127" s="108"/>
      <c r="D127" s="108"/>
      <c r="E127" s="109"/>
    </row>
    <row r="128" spans="2:5" x14ac:dyDescent="0.3">
      <c r="B128" s="108"/>
      <c r="C128" s="108"/>
      <c r="D128" s="108"/>
      <c r="E128" s="109"/>
    </row>
    <row r="129" spans="2:5" x14ac:dyDescent="0.3">
      <c r="B129" s="108"/>
      <c r="C129" s="108"/>
      <c r="D129" s="108"/>
      <c r="E129" s="109"/>
    </row>
    <row r="130" spans="2:5" x14ac:dyDescent="0.3">
      <c r="B130" s="108"/>
      <c r="C130" s="108"/>
      <c r="D130" s="108"/>
      <c r="E130" s="109"/>
    </row>
    <row r="131" spans="2:5" x14ac:dyDescent="0.3">
      <c r="B131" s="108"/>
      <c r="C131" s="108"/>
      <c r="D131" s="108"/>
      <c r="E131" s="109"/>
    </row>
    <row r="132" spans="2:5" x14ac:dyDescent="0.3">
      <c r="B132" s="108"/>
      <c r="C132" s="108"/>
      <c r="D132" s="108"/>
      <c r="E132" s="109"/>
    </row>
    <row r="133" spans="2:5" x14ac:dyDescent="0.3">
      <c r="B133" s="108"/>
      <c r="C133" s="108"/>
      <c r="D133" s="108"/>
      <c r="E133" s="109"/>
    </row>
    <row r="134" spans="2:5" x14ac:dyDescent="0.3">
      <c r="B134" s="108"/>
      <c r="C134" s="108"/>
      <c r="D134" s="108"/>
      <c r="E134" s="109"/>
    </row>
    <row r="135" spans="2:5" x14ac:dyDescent="0.3">
      <c r="B135" s="108"/>
      <c r="C135" s="108"/>
      <c r="D135" s="108"/>
      <c r="E135" s="109"/>
    </row>
    <row r="136" spans="2:5" x14ac:dyDescent="0.3">
      <c r="B136" s="108"/>
      <c r="C136" s="108"/>
      <c r="D136" s="108"/>
      <c r="E136" s="109"/>
    </row>
    <row r="137" spans="2:5" x14ac:dyDescent="0.3">
      <c r="B137" s="108"/>
      <c r="C137" s="108"/>
      <c r="D137" s="108"/>
      <c r="E137" s="109"/>
    </row>
    <row r="138" spans="2:5" x14ac:dyDescent="0.3">
      <c r="B138" s="108"/>
      <c r="C138" s="108"/>
      <c r="D138" s="108"/>
      <c r="E138" s="109"/>
    </row>
    <row r="139" spans="2:5" x14ac:dyDescent="0.3">
      <c r="B139" s="108"/>
      <c r="C139" s="108"/>
      <c r="D139" s="108"/>
      <c r="E139" s="109"/>
    </row>
    <row r="140" spans="2:5" x14ac:dyDescent="0.3">
      <c r="B140" s="108"/>
      <c r="C140" s="108"/>
      <c r="D140" s="108"/>
      <c r="E140" s="109"/>
    </row>
    <row r="141" spans="2:5" x14ac:dyDescent="0.3">
      <c r="B141" s="108"/>
      <c r="C141" s="108"/>
      <c r="D141" s="108"/>
      <c r="E141" s="109"/>
    </row>
    <row r="142" spans="2:5" x14ac:dyDescent="0.3">
      <c r="B142" s="108"/>
      <c r="C142" s="108"/>
      <c r="D142" s="108"/>
      <c r="E142" s="109"/>
    </row>
    <row r="143" spans="2:5" x14ac:dyDescent="0.3">
      <c r="B143" s="108"/>
      <c r="C143" s="108"/>
      <c r="D143" s="108"/>
      <c r="E143" s="109"/>
    </row>
    <row r="144" spans="2:5" x14ac:dyDescent="0.3">
      <c r="B144" s="108"/>
      <c r="C144" s="108"/>
      <c r="D144" s="108"/>
      <c r="E144" s="109"/>
    </row>
    <row r="145" spans="2:5" x14ac:dyDescent="0.3">
      <c r="B145" s="108"/>
      <c r="C145" s="108"/>
      <c r="D145" s="108"/>
      <c r="E145" s="109"/>
    </row>
    <row r="146" spans="2:5" x14ac:dyDescent="0.3">
      <c r="B146" s="108"/>
      <c r="C146" s="108"/>
      <c r="D146" s="108"/>
      <c r="E146" s="109"/>
    </row>
    <row r="147" spans="2:5" x14ac:dyDescent="0.3">
      <c r="B147" s="108"/>
      <c r="C147" s="108"/>
      <c r="D147" s="108"/>
      <c r="E147" s="109"/>
    </row>
    <row r="148" spans="2:5" x14ac:dyDescent="0.3">
      <c r="B148" s="108"/>
      <c r="C148" s="108"/>
      <c r="D148" s="108"/>
      <c r="E148" s="109"/>
    </row>
    <row r="149" spans="2:5" x14ac:dyDescent="0.3">
      <c r="B149" s="108"/>
      <c r="C149" s="108"/>
      <c r="D149" s="108"/>
      <c r="E149" s="109"/>
    </row>
    <row r="150" spans="2:5" x14ac:dyDescent="0.3">
      <c r="B150" s="108"/>
      <c r="C150" s="108"/>
      <c r="D150" s="108"/>
      <c r="E150" s="109"/>
    </row>
    <row r="151" spans="2:5" x14ac:dyDescent="0.3">
      <c r="B151" s="108"/>
      <c r="C151" s="108"/>
      <c r="D151" s="108"/>
      <c r="E151" s="109"/>
    </row>
    <row r="152" spans="2:5" x14ac:dyDescent="0.3">
      <c r="B152" s="108"/>
      <c r="C152" s="108"/>
      <c r="D152" s="108"/>
      <c r="E152" s="109"/>
    </row>
    <row r="153" spans="2:5" x14ac:dyDescent="0.3">
      <c r="B153" s="108"/>
      <c r="C153" s="108"/>
      <c r="D153" s="108"/>
      <c r="E153" s="109"/>
    </row>
    <row r="154" spans="2:5" x14ac:dyDescent="0.3">
      <c r="B154" s="108"/>
      <c r="C154" s="108"/>
      <c r="D154" s="108"/>
      <c r="E154" s="109"/>
    </row>
    <row r="155" spans="2:5" x14ac:dyDescent="0.3">
      <c r="B155" s="108"/>
      <c r="C155" s="108"/>
      <c r="D155" s="108"/>
      <c r="E155" s="109"/>
    </row>
    <row r="156" spans="2:5" x14ac:dyDescent="0.3">
      <c r="B156" s="108"/>
      <c r="C156" s="108"/>
      <c r="D156" s="108"/>
      <c r="E156" s="109"/>
    </row>
    <row r="157" spans="2:5" x14ac:dyDescent="0.3">
      <c r="B157" s="108"/>
      <c r="C157" s="108"/>
      <c r="D157" s="108"/>
      <c r="E157" s="109"/>
    </row>
    <row r="158" spans="2:5" x14ac:dyDescent="0.3">
      <c r="B158" s="108"/>
      <c r="C158" s="108"/>
      <c r="D158" s="108"/>
      <c r="E158" s="109"/>
    </row>
    <row r="159" spans="2:5" x14ac:dyDescent="0.3">
      <c r="B159" s="108"/>
      <c r="C159" s="108"/>
      <c r="D159" s="108"/>
      <c r="E159" s="109"/>
    </row>
    <row r="160" spans="2:5" x14ac:dyDescent="0.3">
      <c r="B160" s="108"/>
      <c r="C160" s="108"/>
      <c r="D160" s="108"/>
      <c r="E160" s="109"/>
    </row>
    <row r="161" spans="2:5" x14ac:dyDescent="0.3">
      <c r="B161" s="108"/>
      <c r="C161" s="108"/>
      <c r="D161" s="108"/>
      <c r="E161" s="109"/>
    </row>
    <row r="162" spans="2:5" x14ac:dyDescent="0.3">
      <c r="B162" s="108"/>
      <c r="C162" s="108"/>
      <c r="D162" s="108"/>
      <c r="E162" s="109"/>
    </row>
    <row r="163" spans="2:5" x14ac:dyDescent="0.3">
      <c r="B163" s="108"/>
      <c r="C163" s="108"/>
      <c r="D163" s="108"/>
      <c r="E163" s="109"/>
    </row>
    <row r="164" spans="2:5" x14ac:dyDescent="0.3">
      <c r="B164" s="108"/>
      <c r="C164" s="108"/>
      <c r="D164" s="108"/>
      <c r="E164" s="109"/>
    </row>
    <row r="165" spans="2:5" x14ac:dyDescent="0.3">
      <c r="B165" s="110"/>
      <c r="C165" s="110"/>
      <c r="D165" s="110"/>
    </row>
    <row r="166" spans="2:5" x14ac:dyDescent="0.3">
      <c r="B166" s="110"/>
      <c r="C166" s="110"/>
      <c r="D166" s="110"/>
    </row>
    <row r="167" spans="2:5" x14ac:dyDescent="0.3">
      <c r="B167" s="110"/>
      <c r="C167" s="110"/>
      <c r="D167" s="110"/>
    </row>
    <row r="168" spans="2:5" x14ac:dyDescent="0.3">
      <c r="B168" s="110"/>
      <c r="C168" s="110"/>
      <c r="D168" s="110"/>
    </row>
    <row r="169" spans="2:5" x14ac:dyDescent="0.3">
      <c r="B169" s="110"/>
      <c r="C169" s="110"/>
      <c r="D169" s="110"/>
    </row>
    <row r="170" spans="2:5" x14ac:dyDescent="0.3">
      <c r="B170" s="110"/>
      <c r="C170" s="110"/>
      <c r="D170" s="110"/>
    </row>
    <row r="171" spans="2:5" x14ac:dyDescent="0.3">
      <c r="B171" s="110"/>
      <c r="C171" s="110"/>
      <c r="D171" s="110"/>
    </row>
    <row r="172" spans="2:5" x14ac:dyDescent="0.3">
      <c r="B172" s="110"/>
      <c r="C172" s="110"/>
      <c r="D172" s="110"/>
    </row>
    <row r="173" spans="2:5" x14ac:dyDescent="0.3">
      <c r="B173" s="110"/>
      <c r="C173" s="110"/>
      <c r="D173" s="110"/>
    </row>
    <row r="174" spans="2:5" x14ac:dyDescent="0.3">
      <c r="B174" s="110"/>
      <c r="C174" s="110"/>
      <c r="D174" s="110"/>
    </row>
    <row r="175" spans="2:5" x14ac:dyDescent="0.3">
      <c r="B175" s="110"/>
      <c r="C175" s="110"/>
      <c r="D175" s="110"/>
    </row>
    <row r="176" spans="2:5" x14ac:dyDescent="0.3">
      <c r="B176" s="110"/>
      <c r="C176" s="110"/>
      <c r="D176" s="110"/>
    </row>
    <row r="177" spans="2:4" x14ac:dyDescent="0.3">
      <c r="B177" s="110"/>
      <c r="C177" s="110"/>
      <c r="D177" s="110"/>
    </row>
    <row r="178" spans="2:4" x14ac:dyDescent="0.3">
      <c r="B178" s="110"/>
      <c r="C178" s="110"/>
      <c r="D178" s="110"/>
    </row>
    <row r="179" spans="2:4" x14ac:dyDescent="0.3">
      <c r="B179" s="110"/>
      <c r="C179" s="110"/>
      <c r="D179" s="110"/>
    </row>
    <row r="180" spans="2:4" x14ac:dyDescent="0.3">
      <c r="B180" s="110"/>
      <c r="C180" s="110"/>
      <c r="D180" s="110"/>
    </row>
    <row r="181" spans="2:4" x14ac:dyDescent="0.3">
      <c r="B181" s="110"/>
      <c r="C181" s="110"/>
      <c r="D181" s="110"/>
    </row>
    <row r="182" spans="2:4" x14ac:dyDescent="0.3">
      <c r="B182" s="110"/>
      <c r="C182" s="110"/>
      <c r="D182" s="110"/>
    </row>
    <row r="183" spans="2:4" x14ac:dyDescent="0.3">
      <c r="B183" s="110"/>
      <c r="C183" s="110"/>
      <c r="D183" s="110"/>
    </row>
    <row r="184" spans="2:4" x14ac:dyDescent="0.3">
      <c r="B184" s="110"/>
      <c r="C184" s="110"/>
      <c r="D184" s="110"/>
    </row>
    <row r="185" spans="2:4" x14ac:dyDescent="0.3">
      <c r="B185" s="110"/>
      <c r="C185" s="110"/>
      <c r="D185" s="110"/>
    </row>
    <row r="186" spans="2:4" x14ac:dyDescent="0.3">
      <c r="B186" s="110"/>
      <c r="C186" s="110"/>
      <c r="D186" s="110"/>
    </row>
    <row r="187" spans="2:4" x14ac:dyDescent="0.3">
      <c r="B187" s="110"/>
      <c r="C187" s="110"/>
      <c r="D187" s="110"/>
    </row>
    <row r="188" spans="2:4" x14ac:dyDescent="0.3">
      <c r="B188" s="110"/>
      <c r="C188" s="110"/>
      <c r="D188" s="110"/>
    </row>
    <row r="189" spans="2:4" x14ac:dyDescent="0.3">
      <c r="B189" s="110"/>
      <c r="C189" s="110"/>
      <c r="D189" s="110"/>
    </row>
    <row r="190" spans="2:4" x14ac:dyDescent="0.3">
      <c r="B190" s="110"/>
      <c r="C190" s="110"/>
      <c r="D190" s="110"/>
    </row>
    <row r="191" spans="2:4" x14ac:dyDescent="0.3">
      <c r="B191" s="110"/>
      <c r="C191" s="110"/>
      <c r="D191" s="110"/>
    </row>
    <row r="192" spans="2:4" x14ac:dyDescent="0.3">
      <c r="B192" s="110"/>
      <c r="C192" s="110"/>
      <c r="D192" s="110"/>
    </row>
    <row r="193" spans="2:4" x14ac:dyDescent="0.3">
      <c r="B193" s="110"/>
      <c r="C193" s="110"/>
      <c r="D193" s="110"/>
    </row>
    <row r="194" spans="2:4" x14ac:dyDescent="0.3">
      <c r="B194" s="110"/>
      <c r="C194" s="110"/>
      <c r="D194" s="110"/>
    </row>
    <row r="195" spans="2:4" x14ac:dyDescent="0.3">
      <c r="B195" s="110"/>
      <c r="C195" s="110"/>
      <c r="D195" s="110"/>
    </row>
    <row r="196" spans="2:4" x14ac:dyDescent="0.3">
      <c r="B196" s="110"/>
      <c r="C196" s="110"/>
      <c r="D196" s="110"/>
    </row>
    <row r="197" spans="2:4" x14ac:dyDescent="0.3">
      <c r="B197" s="110"/>
      <c r="C197" s="110"/>
      <c r="D197" s="110"/>
    </row>
    <row r="198" spans="2:4" x14ac:dyDescent="0.3">
      <c r="B198" s="110"/>
      <c r="C198" s="110"/>
      <c r="D198" s="110"/>
    </row>
    <row r="199" spans="2:4" x14ac:dyDescent="0.3">
      <c r="B199" s="110"/>
      <c r="C199" s="110"/>
      <c r="D199" s="110"/>
    </row>
    <row r="200" spans="2:4" x14ac:dyDescent="0.3">
      <c r="B200" s="110"/>
      <c r="C200" s="110"/>
      <c r="D200" s="110"/>
    </row>
    <row r="201" spans="2:4" x14ac:dyDescent="0.3">
      <c r="B201" s="110"/>
      <c r="C201" s="110"/>
      <c r="D201" s="110"/>
    </row>
    <row r="202" spans="2:4" x14ac:dyDescent="0.3">
      <c r="B202" s="110"/>
      <c r="C202" s="110"/>
      <c r="D202" s="110"/>
    </row>
    <row r="203" spans="2:4" x14ac:dyDescent="0.3">
      <c r="B203" s="110"/>
      <c r="C203" s="110"/>
      <c r="D203" s="110"/>
    </row>
    <row r="204" spans="2:4" x14ac:dyDescent="0.3">
      <c r="B204" s="110"/>
      <c r="C204" s="110"/>
      <c r="D204" s="110"/>
    </row>
    <row r="205" spans="2:4" x14ac:dyDescent="0.3">
      <c r="B205" s="110"/>
      <c r="C205" s="110"/>
      <c r="D205" s="110"/>
    </row>
    <row r="206" spans="2:4" x14ac:dyDescent="0.3">
      <c r="B206" s="110"/>
      <c r="C206" s="110"/>
      <c r="D206" s="110"/>
    </row>
    <row r="207" spans="2:4" x14ac:dyDescent="0.3">
      <c r="B207" s="110"/>
      <c r="C207" s="110"/>
      <c r="D207" s="110"/>
    </row>
    <row r="208" spans="2:4" x14ac:dyDescent="0.3">
      <c r="B208" s="110"/>
      <c r="C208" s="110"/>
      <c r="D208" s="110"/>
    </row>
    <row r="209" spans="2:4" x14ac:dyDescent="0.3">
      <c r="B209" s="110"/>
      <c r="C209" s="110"/>
      <c r="D209" s="110"/>
    </row>
    <row r="210" spans="2:4" x14ac:dyDescent="0.3">
      <c r="B210" s="110"/>
      <c r="C210" s="110"/>
      <c r="D210" s="110"/>
    </row>
    <row r="211" spans="2:4" x14ac:dyDescent="0.3">
      <c r="B211" s="110"/>
      <c r="C211" s="110"/>
      <c r="D211" s="110"/>
    </row>
    <row r="212" spans="2:4" x14ac:dyDescent="0.3">
      <c r="B212" s="110"/>
      <c r="C212" s="110"/>
      <c r="D212" s="110"/>
    </row>
    <row r="213" spans="2:4" x14ac:dyDescent="0.3">
      <c r="B213" s="110"/>
      <c r="C213" s="110"/>
      <c r="D213" s="110"/>
    </row>
    <row r="214" spans="2:4" x14ac:dyDescent="0.3">
      <c r="B214" s="110"/>
      <c r="C214" s="110"/>
      <c r="D214" s="110"/>
    </row>
    <row r="215" spans="2:4" x14ac:dyDescent="0.3">
      <c r="B215" s="110"/>
      <c r="C215" s="110"/>
      <c r="D215" s="110"/>
    </row>
    <row r="216" spans="2:4" x14ac:dyDescent="0.3">
      <c r="B216" s="110"/>
      <c r="C216" s="110"/>
      <c r="D216" s="110"/>
    </row>
    <row r="217" spans="2:4" x14ac:dyDescent="0.3">
      <c r="B217" s="110"/>
      <c r="C217" s="110"/>
      <c r="D217" s="110"/>
    </row>
    <row r="218" spans="2:4" x14ac:dyDescent="0.3">
      <c r="B218" s="110"/>
      <c r="C218" s="110"/>
      <c r="D218" s="110"/>
    </row>
    <row r="219" spans="2:4" x14ac:dyDescent="0.3">
      <c r="B219" s="110"/>
      <c r="C219" s="110"/>
      <c r="D219" s="110"/>
    </row>
    <row r="220" spans="2:4" x14ac:dyDescent="0.3">
      <c r="B220" s="110"/>
      <c r="C220" s="110"/>
      <c r="D220" s="110"/>
    </row>
    <row r="221" spans="2:4" x14ac:dyDescent="0.3">
      <c r="B221" s="110"/>
      <c r="C221" s="110"/>
      <c r="D221" s="110"/>
    </row>
    <row r="222" spans="2:4" x14ac:dyDescent="0.3">
      <c r="B222" s="110"/>
      <c r="C222" s="110"/>
      <c r="D222" s="110"/>
    </row>
    <row r="223" spans="2:4" x14ac:dyDescent="0.3">
      <c r="B223" s="110"/>
      <c r="C223" s="110"/>
      <c r="D223" s="110"/>
    </row>
    <row r="224" spans="2:4" x14ac:dyDescent="0.3">
      <c r="B224" s="110"/>
      <c r="C224" s="110"/>
      <c r="D224" s="110"/>
    </row>
    <row r="225" spans="2:4" x14ac:dyDescent="0.3">
      <c r="B225" s="110"/>
      <c r="C225" s="110"/>
      <c r="D225" s="110"/>
    </row>
    <row r="226" spans="2:4" x14ac:dyDescent="0.3">
      <c r="B226" s="110"/>
      <c r="C226" s="110"/>
      <c r="D226" s="110"/>
    </row>
    <row r="227" spans="2:4" x14ac:dyDescent="0.3">
      <c r="B227" s="110"/>
      <c r="C227" s="110"/>
      <c r="D227" s="110"/>
    </row>
    <row r="228" spans="2:4" x14ac:dyDescent="0.3">
      <c r="B228" s="110"/>
      <c r="C228" s="110"/>
      <c r="D228" s="110"/>
    </row>
    <row r="229" spans="2:4" x14ac:dyDescent="0.3">
      <c r="B229" s="110"/>
      <c r="C229" s="110"/>
      <c r="D229" s="110"/>
    </row>
    <row r="230" spans="2:4" x14ac:dyDescent="0.3">
      <c r="B230" s="110"/>
      <c r="C230" s="110"/>
      <c r="D230" s="110"/>
    </row>
    <row r="231" spans="2:4" x14ac:dyDescent="0.3">
      <c r="B231" s="110"/>
      <c r="C231" s="110"/>
      <c r="D231" s="110"/>
    </row>
    <row r="232" spans="2:4" x14ac:dyDescent="0.3">
      <c r="B232" s="110"/>
      <c r="C232" s="110"/>
      <c r="D232" s="110"/>
    </row>
    <row r="233" spans="2:4" x14ac:dyDescent="0.3">
      <c r="B233" s="110"/>
      <c r="C233" s="110"/>
      <c r="D233" s="110"/>
    </row>
    <row r="234" spans="2:4" x14ac:dyDescent="0.3">
      <c r="B234" s="110"/>
      <c r="C234" s="110"/>
      <c r="D234" s="110"/>
    </row>
    <row r="235" spans="2:4" x14ac:dyDescent="0.3">
      <c r="B235" s="110"/>
      <c r="C235" s="110"/>
      <c r="D235" s="110"/>
    </row>
    <row r="236" spans="2:4" x14ac:dyDescent="0.3">
      <c r="B236" s="110"/>
      <c r="C236" s="110"/>
      <c r="D236" s="110"/>
    </row>
    <row r="237" spans="2:4" x14ac:dyDescent="0.3">
      <c r="B237" s="110"/>
      <c r="C237" s="110"/>
      <c r="D237" s="110"/>
    </row>
    <row r="238" spans="2:4" x14ac:dyDescent="0.3">
      <c r="B238" s="110"/>
      <c r="C238" s="110"/>
      <c r="D238" s="110"/>
    </row>
    <row r="239" spans="2:4" x14ac:dyDescent="0.3">
      <c r="B239" s="110"/>
      <c r="C239" s="110"/>
      <c r="D239" s="110"/>
    </row>
    <row r="240" spans="2:4" x14ac:dyDescent="0.3">
      <c r="B240" s="110"/>
      <c r="C240" s="110"/>
      <c r="D240" s="110"/>
    </row>
    <row r="241" spans="2:4" x14ac:dyDescent="0.3">
      <c r="B241" s="110"/>
      <c r="C241" s="110"/>
      <c r="D241" s="110"/>
    </row>
    <row r="242" spans="2:4" x14ac:dyDescent="0.3">
      <c r="B242" s="110"/>
      <c r="C242" s="110"/>
      <c r="D242" s="110"/>
    </row>
    <row r="243" spans="2:4" x14ac:dyDescent="0.3">
      <c r="B243" s="110"/>
      <c r="C243" s="110"/>
      <c r="D243" s="110"/>
    </row>
    <row r="244" spans="2:4" x14ac:dyDescent="0.3">
      <c r="B244" s="110"/>
      <c r="C244" s="110"/>
      <c r="D244" s="110"/>
    </row>
    <row r="245" spans="2:4" x14ac:dyDescent="0.3">
      <c r="B245" s="110"/>
      <c r="C245" s="110"/>
      <c r="D245" s="110"/>
    </row>
    <row r="246" spans="2:4" x14ac:dyDescent="0.3">
      <c r="B246" s="110"/>
      <c r="C246" s="110"/>
      <c r="D246" s="110"/>
    </row>
    <row r="247" spans="2:4" x14ac:dyDescent="0.3">
      <c r="B247" s="110"/>
      <c r="C247" s="110"/>
      <c r="D247" s="110"/>
    </row>
    <row r="248" spans="2:4" x14ac:dyDescent="0.3">
      <c r="B248" s="110"/>
      <c r="C248" s="110"/>
      <c r="D248" s="110"/>
    </row>
    <row r="249" spans="2:4" x14ac:dyDescent="0.3">
      <c r="B249" s="110"/>
      <c r="C249" s="110"/>
      <c r="D249" s="110"/>
    </row>
    <row r="250" spans="2:4" x14ac:dyDescent="0.3">
      <c r="B250" s="110"/>
      <c r="C250" s="110"/>
      <c r="D250" s="110"/>
    </row>
    <row r="251" spans="2:4" x14ac:dyDescent="0.3">
      <c r="B251" s="110"/>
      <c r="C251" s="110"/>
      <c r="D251" s="110"/>
    </row>
    <row r="252" spans="2:4" x14ac:dyDescent="0.3">
      <c r="B252" s="110"/>
      <c r="C252" s="110"/>
      <c r="D252" s="110"/>
    </row>
    <row r="253" spans="2:4" x14ac:dyDescent="0.3">
      <c r="B253" s="110"/>
      <c r="C253" s="110"/>
      <c r="D253" s="110"/>
    </row>
    <row r="254" spans="2:4" x14ac:dyDescent="0.3">
      <c r="B254" s="110"/>
      <c r="C254" s="110"/>
      <c r="D254" s="110"/>
    </row>
    <row r="255" spans="2:4" x14ac:dyDescent="0.3">
      <c r="B255" s="110"/>
      <c r="C255" s="110"/>
      <c r="D255" s="110"/>
    </row>
    <row r="256" spans="2:4" x14ac:dyDescent="0.3">
      <c r="B256" s="110"/>
      <c r="C256" s="110"/>
      <c r="D256" s="110"/>
    </row>
    <row r="257" spans="2:4" x14ac:dyDescent="0.3">
      <c r="B257" s="110"/>
      <c r="C257" s="110"/>
      <c r="D257" s="110"/>
    </row>
    <row r="258" spans="2:4" x14ac:dyDescent="0.3">
      <c r="B258" s="110"/>
      <c r="C258" s="110"/>
      <c r="D258" s="110"/>
    </row>
    <row r="259" spans="2:4" x14ac:dyDescent="0.3">
      <c r="B259" s="110"/>
      <c r="C259" s="110"/>
      <c r="D259" s="110"/>
    </row>
    <row r="260" spans="2:4" x14ac:dyDescent="0.3">
      <c r="B260" s="110"/>
      <c r="C260" s="110"/>
      <c r="D260" s="110"/>
    </row>
    <row r="261" spans="2:4" x14ac:dyDescent="0.3">
      <c r="B261" s="110"/>
      <c r="C261" s="110"/>
      <c r="D261" s="110"/>
    </row>
    <row r="262" spans="2:4" x14ac:dyDescent="0.3">
      <c r="B262" s="110"/>
      <c r="C262" s="110"/>
      <c r="D262" s="110"/>
    </row>
    <row r="263" spans="2:4" x14ac:dyDescent="0.3">
      <c r="B263" s="110"/>
      <c r="C263" s="110"/>
      <c r="D263" s="110"/>
    </row>
    <row r="264" spans="2:4" x14ac:dyDescent="0.3">
      <c r="B264" s="110"/>
      <c r="C264" s="110"/>
      <c r="D264" s="110"/>
    </row>
    <row r="265" spans="2:4" x14ac:dyDescent="0.3">
      <c r="B265" s="110"/>
      <c r="C265" s="110"/>
      <c r="D265" s="110"/>
    </row>
    <row r="266" spans="2:4" x14ac:dyDescent="0.3">
      <c r="B266" s="110"/>
      <c r="C266" s="110"/>
      <c r="D266" s="110"/>
    </row>
    <row r="267" spans="2:4" x14ac:dyDescent="0.3">
      <c r="B267" s="110"/>
      <c r="C267" s="110"/>
      <c r="D267" s="110"/>
    </row>
    <row r="268" spans="2:4" x14ac:dyDescent="0.3">
      <c r="B268" s="110"/>
      <c r="C268" s="110"/>
      <c r="D268" s="110"/>
    </row>
    <row r="269" spans="2:4" x14ac:dyDescent="0.3">
      <c r="B269" s="110"/>
      <c r="C269" s="110"/>
      <c r="D269" s="110"/>
    </row>
    <row r="270" spans="2:4" x14ac:dyDescent="0.3">
      <c r="B270" s="110"/>
      <c r="C270" s="110"/>
      <c r="D270" s="110"/>
    </row>
    <row r="271" spans="2:4" x14ac:dyDescent="0.3">
      <c r="B271" s="110"/>
      <c r="C271" s="110"/>
      <c r="D271" s="110"/>
    </row>
    <row r="272" spans="2:4" x14ac:dyDescent="0.3">
      <c r="B272" s="110"/>
      <c r="C272" s="110"/>
      <c r="D272" s="110"/>
    </row>
    <row r="273" spans="2:4" x14ac:dyDescent="0.3">
      <c r="B273" s="110"/>
      <c r="C273" s="110"/>
      <c r="D273" s="110"/>
    </row>
    <row r="274" spans="2:4" x14ac:dyDescent="0.3">
      <c r="B274" s="110"/>
      <c r="C274" s="110"/>
      <c r="D274" s="110"/>
    </row>
    <row r="275" spans="2:4" x14ac:dyDescent="0.3">
      <c r="B275" s="110"/>
      <c r="C275" s="110"/>
      <c r="D275" s="110"/>
    </row>
    <row r="276" spans="2:4" x14ac:dyDescent="0.3">
      <c r="B276" s="110"/>
      <c r="C276" s="110"/>
      <c r="D276" s="110"/>
    </row>
    <row r="277" spans="2:4" x14ac:dyDescent="0.3">
      <c r="B277" s="110"/>
      <c r="C277" s="110"/>
      <c r="D277" s="110"/>
    </row>
    <row r="278" spans="2:4" x14ac:dyDescent="0.3">
      <c r="B278" s="110"/>
      <c r="C278" s="110"/>
      <c r="D278" s="110"/>
    </row>
    <row r="279" spans="2:4" x14ac:dyDescent="0.3">
      <c r="B279" s="110"/>
      <c r="C279" s="110"/>
      <c r="D279" s="110"/>
    </row>
    <row r="280" spans="2:4" x14ac:dyDescent="0.3">
      <c r="B280" s="110"/>
      <c r="C280" s="110"/>
      <c r="D280" s="110"/>
    </row>
    <row r="281" spans="2:4" x14ac:dyDescent="0.3">
      <c r="B281" s="110"/>
      <c r="C281" s="110"/>
      <c r="D281" s="110"/>
    </row>
    <row r="282" spans="2:4" x14ac:dyDescent="0.3">
      <c r="B282" s="110"/>
      <c r="C282" s="110"/>
      <c r="D282" s="110"/>
    </row>
    <row r="283" spans="2:4" x14ac:dyDescent="0.3">
      <c r="B283" s="110"/>
      <c r="C283" s="110"/>
      <c r="D283" s="110"/>
    </row>
    <row r="284" spans="2:4" x14ac:dyDescent="0.3">
      <c r="B284" s="110"/>
      <c r="C284" s="110"/>
      <c r="D284" s="110"/>
    </row>
    <row r="285" spans="2:4" x14ac:dyDescent="0.3">
      <c r="B285" s="110"/>
      <c r="C285" s="110"/>
      <c r="D285" s="110"/>
    </row>
    <row r="286" spans="2:4" x14ac:dyDescent="0.3">
      <c r="B286" s="110"/>
      <c r="C286" s="110"/>
      <c r="D286" s="110"/>
    </row>
    <row r="287" spans="2:4" x14ac:dyDescent="0.3">
      <c r="B287" s="110"/>
      <c r="C287" s="110"/>
      <c r="D287" s="110"/>
    </row>
    <row r="288" spans="2:4" x14ac:dyDescent="0.3">
      <c r="B288" s="110"/>
      <c r="C288" s="110"/>
      <c r="D288" s="110"/>
    </row>
    <row r="289" spans="2:4" x14ac:dyDescent="0.3">
      <c r="B289" s="110"/>
      <c r="C289" s="110"/>
      <c r="D289" s="110"/>
    </row>
    <row r="290" spans="2:4" x14ac:dyDescent="0.3">
      <c r="B290" s="110"/>
      <c r="C290" s="110"/>
      <c r="D290" s="110"/>
    </row>
    <row r="291" spans="2:4" x14ac:dyDescent="0.3">
      <c r="B291" s="110"/>
      <c r="C291" s="110"/>
      <c r="D291" s="110"/>
    </row>
    <row r="292" spans="2:4" x14ac:dyDescent="0.3">
      <c r="B292" s="110"/>
      <c r="C292" s="110"/>
      <c r="D292" s="110"/>
    </row>
    <row r="293" spans="2:4" x14ac:dyDescent="0.3">
      <c r="B293" s="110"/>
      <c r="C293" s="110"/>
      <c r="D293" s="110"/>
    </row>
    <row r="294" spans="2:4" x14ac:dyDescent="0.3">
      <c r="B294" s="110"/>
      <c r="C294" s="110"/>
      <c r="D294" s="110"/>
    </row>
    <row r="295" spans="2:4" x14ac:dyDescent="0.3">
      <c r="B295" s="110"/>
      <c r="C295" s="110"/>
      <c r="D295" s="110"/>
    </row>
    <row r="296" spans="2:4" x14ac:dyDescent="0.3">
      <c r="B296" s="110"/>
      <c r="C296" s="110"/>
      <c r="D296" s="110"/>
    </row>
    <row r="297" spans="2:4" x14ac:dyDescent="0.3">
      <c r="B297" s="110"/>
      <c r="C297" s="110"/>
      <c r="D297" s="110"/>
    </row>
    <row r="298" spans="2:4" x14ac:dyDescent="0.3">
      <c r="B298" s="110"/>
      <c r="C298" s="110"/>
      <c r="D298" s="110"/>
    </row>
    <row r="299" spans="2:4" x14ac:dyDescent="0.3">
      <c r="B299" s="110"/>
      <c r="C299" s="110"/>
      <c r="D299" s="110"/>
    </row>
    <row r="300" spans="2:4" x14ac:dyDescent="0.3">
      <c r="B300" s="110"/>
      <c r="C300" s="110"/>
      <c r="D300" s="110"/>
    </row>
    <row r="301" spans="2:4" x14ac:dyDescent="0.3">
      <c r="B301" s="110"/>
      <c r="C301" s="110"/>
      <c r="D301" s="110"/>
    </row>
    <row r="302" spans="2:4" x14ac:dyDescent="0.3">
      <c r="B302" s="110"/>
      <c r="C302" s="110"/>
      <c r="D302" s="110"/>
    </row>
    <row r="303" spans="2:4" x14ac:dyDescent="0.3">
      <c r="B303" s="110"/>
      <c r="C303" s="110"/>
      <c r="D303" s="110"/>
    </row>
    <row r="304" spans="2:4" x14ac:dyDescent="0.3">
      <c r="B304" s="110"/>
      <c r="C304" s="110"/>
      <c r="D304" s="110"/>
    </row>
    <row r="305" spans="2:4" x14ac:dyDescent="0.3">
      <c r="B305" s="110"/>
      <c r="C305" s="110"/>
      <c r="D305" s="110"/>
    </row>
    <row r="306" spans="2:4" x14ac:dyDescent="0.3">
      <c r="B306" s="110"/>
      <c r="C306" s="110"/>
      <c r="D306" s="110"/>
    </row>
    <row r="307" spans="2:4" x14ac:dyDescent="0.3">
      <c r="B307" s="110"/>
      <c r="C307" s="110"/>
      <c r="D307" s="110"/>
    </row>
    <row r="308" spans="2:4" x14ac:dyDescent="0.3">
      <c r="B308" s="110"/>
      <c r="C308" s="110"/>
      <c r="D308" s="110"/>
    </row>
    <row r="309" spans="2:4" x14ac:dyDescent="0.3">
      <c r="B309" s="110"/>
      <c r="C309" s="110"/>
      <c r="D309" s="110"/>
    </row>
    <row r="310" spans="2:4" x14ac:dyDescent="0.3">
      <c r="B310" s="110"/>
      <c r="C310" s="110"/>
      <c r="D310" s="110"/>
    </row>
    <row r="311" spans="2:4" x14ac:dyDescent="0.3">
      <c r="B311" s="110"/>
      <c r="C311" s="110"/>
      <c r="D311" s="110"/>
    </row>
    <row r="312" spans="2:4" x14ac:dyDescent="0.3">
      <c r="B312" s="110"/>
      <c r="C312" s="110"/>
      <c r="D312" s="110"/>
    </row>
    <row r="313" spans="2:4" x14ac:dyDescent="0.3">
      <c r="B313" s="110"/>
      <c r="C313" s="110"/>
      <c r="D313" s="110"/>
    </row>
    <row r="314" spans="2:4" x14ac:dyDescent="0.3">
      <c r="B314" s="110"/>
      <c r="C314" s="110"/>
      <c r="D314" s="110"/>
    </row>
    <row r="315" spans="2:4" x14ac:dyDescent="0.3">
      <c r="B315" s="110"/>
      <c r="C315" s="110"/>
      <c r="D315" s="110"/>
    </row>
    <row r="316" spans="2:4" x14ac:dyDescent="0.3">
      <c r="B316" s="110"/>
      <c r="C316" s="110"/>
      <c r="D316" s="110"/>
    </row>
    <row r="317" spans="2:4" x14ac:dyDescent="0.3">
      <c r="B317" s="110"/>
      <c r="C317" s="110"/>
      <c r="D317" s="110"/>
    </row>
    <row r="318" spans="2:4" x14ac:dyDescent="0.3">
      <c r="B318" s="110"/>
      <c r="C318" s="110"/>
      <c r="D318" s="110"/>
    </row>
    <row r="319" spans="2:4" x14ac:dyDescent="0.3">
      <c r="B319" s="110"/>
      <c r="C319" s="110"/>
      <c r="D319" s="110"/>
    </row>
    <row r="320" spans="2:4" x14ac:dyDescent="0.3">
      <c r="B320" s="110"/>
      <c r="C320" s="110"/>
      <c r="D320" s="110"/>
    </row>
    <row r="321" spans="2:4" x14ac:dyDescent="0.3">
      <c r="B321" s="110"/>
      <c r="C321" s="110"/>
      <c r="D321" s="110"/>
    </row>
    <row r="322" spans="2:4" x14ac:dyDescent="0.3">
      <c r="B322" s="110"/>
      <c r="C322" s="110"/>
      <c r="D322" s="110"/>
    </row>
    <row r="323" spans="2:4" x14ac:dyDescent="0.3">
      <c r="B323" s="110"/>
      <c r="C323" s="110"/>
      <c r="D323" s="110"/>
    </row>
    <row r="324" spans="2:4" x14ac:dyDescent="0.3">
      <c r="B324" s="110"/>
      <c r="C324" s="110"/>
      <c r="D324" s="110"/>
    </row>
    <row r="325" spans="2:4" x14ac:dyDescent="0.3">
      <c r="B325" s="110"/>
      <c r="C325" s="110"/>
      <c r="D325" s="110"/>
    </row>
    <row r="326" spans="2:4" x14ac:dyDescent="0.3">
      <c r="B326" s="110"/>
      <c r="C326" s="110"/>
      <c r="D326" s="110"/>
    </row>
    <row r="327" spans="2:4" x14ac:dyDescent="0.3">
      <c r="B327" s="110"/>
      <c r="C327" s="110"/>
      <c r="D327" s="110"/>
    </row>
    <row r="328" spans="2:4" x14ac:dyDescent="0.3">
      <c r="B328" s="110"/>
      <c r="C328" s="110"/>
      <c r="D328" s="110"/>
    </row>
    <row r="329" spans="2:4" x14ac:dyDescent="0.3">
      <c r="B329" s="110"/>
      <c r="C329" s="110"/>
      <c r="D329" s="110"/>
    </row>
    <row r="330" spans="2:4" x14ac:dyDescent="0.3">
      <c r="B330" s="110"/>
      <c r="C330" s="110"/>
      <c r="D330" s="110"/>
    </row>
    <row r="331" spans="2:4" x14ac:dyDescent="0.3">
      <c r="B331" s="110"/>
      <c r="C331" s="110"/>
      <c r="D331" s="110"/>
    </row>
    <row r="332" spans="2:4" x14ac:dyDescent="0.3">
      <c r="B332" s="110"/>
      <c r="C332" s="110"/>
      <c r="D332" s="110"/>
    </row>
    <row r="333" spans="2:4" x14ac:dyDescent="0.3">
      <c r="B333" s="110"/>
      <c r="C333" s="110"/>
      <c r="D333" s="110"/>
    </row>
    <row r="334" spans="2:4" x14ac:dyDescent="0.3">
      <c r="B334" s="110"/>
      <c r="C334" s="110"/>
      <c r="D334" s="110"/>
    </row>
    <row r="335" spans="2:4" x14ac:dyDescent="0.3">
      <c r="B335" s="110"/>
      <c r="C335" s="110"/>
      <c r="D335" s="110"/>
    </row>
    <row r="336" spans="2:4" x14ac:dyDescent="0.3">
      <c r="B336" s="110"/>
      <c r="C336" s="110"/>
      <c r="D336" s="110"/>
    </row>
    <row r="337" spans="2:4" x14ac:dyDescent="0.3">
      <c r="B337" s="110"/>
      <c r="C337" s="110"/>
      <c r="D337" s="110"/>
    </row>
    <row r="338" spans="2:4" x14ac:dyDescent="0.3">
      <c r="B338" s="110"/>
      <c r="C338" s="110"/>
      <c r="D338" s="110"/>
    </row>
    <row r="339" spans="2:4" x14ac:dyDescent="0.3">
      <c r="B339" s="110"/>
      <c r="C339" s="110"/>
      <c r="D339" s="110"/>
    </row>
    <row r="340" spans="2:4" x14ac:dyDescent="0.3">
      <c r="B340" s="110"/>
      <c r="C340" s="110"/>
      <c r="D340" s="110"/>
    </row>
    <row r="341" spans="2:4" x14ac:dyDescent="0.3">
      <c r="B341" s="110"/>
      <c r="C341" s="110"/>
      <c r="D341" s="110"/>
    </row>
    <row r="342" spans="2:4" x14ac:dyDescent="0.3">
      <c r="B342" s="110"/>
      <c r="C342" s="110"/>
      <c r="D342" s="110"/>
    </row>
    <row r="343" spans="2:4" x14ac:dyDescent="0.3">
      <c r="B343" s="110"/>
      <c r="C343" s="110"/>
      <c r="D343" s="110"/>
    </row>
    <row r="344" spans="2:4" x14ac:dyDescent="0.3">
      <c r="B344" s="110"/>
      <c r="C344" s="110"/>
      <c r="D344" s="110"/>
    </row>
    <row r="345" spans="2:4" x14ac:dyDescent="0.3">
      <c r="B345" s="110"/>
      <c r="C345" s="110"/>
      <c r="D345" s="110"/>
    </row>
    <row r="346" spans="2:4" x14ac:dyDescent="0.3">
      <c r="B346" s="110"/>
      <c r="C346" s="110"/>
      <c r="D346" s="110"/>
    </row>
    <row r="347" spans="2:4" x14ac:dyDescent="0.3">
      <c r="B347" s="110"/>
      <c r="C347" s="110"/>
      <c r="D347" s="110"/>
    </row>
    <row r="348" spans="2:4" x14ac:dyDescent="0.3">
      <c r="B348" s="110"/>
      <c r="C348" s="110"/>
      <c r="D348" s="110"/>
    </row>
    <row r="349" spans="2:4" x14ac:dyDescent="0.3">
      <c r="B349" s="110"/>
      <c r="C349" s="110"/>
      <c r="D349" s="110"/>
    </row>
    <row r="350" spans="2:4" x14ac:dyDescent="0.3">
      <c r="B350" s="110"/>
      <c r="C350" s="110"/>
      <c r="D350" s="110"/>
    </row>
    <row r="351" spans="2:4" x14ac:dyDescent="0.3">
      <c r="B351" s="110"/>
      <c r="C351" s="110"/>
      <c r="D351" s="110"/>
    </row>
    <row r="352" spans="2:4" x14ac:dyDescent="0.3">
      <c r="B352" s="110"/>
      <c r="C352" s="110"/>
      <c r="D352" s="110"/>
    </row>
    <row r="353" spans="2:4" x14ac:dyDescent="0.3">
      <c r="B353" s="110"/>
      <c r="C353" s="110"/>
      <c r="D353" s="110"/>
    </row>
    <row r="354" spans="2:4" x14ac:dyDescent="0.3">
      <c r="B354" s="110"/>
      <c r="C354" s="110"/>
      <c r="D354" s="110"/>
    </row>
    <row r="355" spans="2:4" x14ac:dyDescent="0.3">
      <c r="B355" s="110"/>
      <c r="C355" s="110"/>
      <c r="D355" s="110"/>
    </row>
    <row r="356" spans="2:4" x14ac:dyDescent="0.3">
      <c r="B356" s="110"/>
      <c r="C356" s="110"/>
      <c r="D356" s="110"/>
    </row>
    <row r="357" spans="2:4" x14ac:dyDescent="0.3">
      <c r="B357" s="110"/>
      <c r="C357" s="110"/>
      <c r="D357" s="110"/>
    </row>
    <row r="358" spans="2:4" x14ac:dyDescent="0.3">
      <c r="B358" s="110"/>
      <c r="C358" s="110"/>
      <c r="D358" s="110"/>
    </row>
    <row r="359" spans="2:4" x14ac:dyDescent="0.3">
      <c r="B359" s="110"/>
      <c r="C359" s="110"/>
      <c r="D359" s="110"/>
    </row>
    <row r="360" spans="2:4" x14ac:dyDescent="0.3">
      <c r="B360" s="110"/>
      <c r="C360" s="110"/>
      <c r="D360" s="110"/>
    </row>
    <row r="361" spans="2:4" x14ac:dyDescent="0.3">
      <c r="B361" s="110"/>
      <c r="C361" s="110"/>
      <c r="D361" s="110"/>
    </row>
    <row r="362" spans="2:4" x14ac:dyDescent="0.3">
      <c r="B362" s="110"/>
      <c r="C362" s="110"/>
      <c r="D362" s="110"/>
    </row>
    <row r="363" spans="2:4" x14ac:dyDescent="0.3">
      <c r="B363" s="110"/>
      <c r="C363" s="110"/>
      <c r="D363" s="110"/>
    </row>
    <row r="364" spans="2:4" x14ac:dyDescent="0.3">
      <c r="B364" s="110"/>
      <c r="C364" s="110"/>
      <c r="D364" s="110"/>
    </row>
    <row r="365" spans="2:4" x14ac:dyDescent="0.3">
      <c r="B365" s="110"/>
      <c r="C365" s="110"/>
      <c r="D365" s="110"/>
    </row>
    <row r="366" spans="2:4" x14ac:dyDescent="0.3">
      <c r="B366" s="110"/>
      <c r="C366" s="110"/>
      <c r="D366" s="110"/>
    </row>
    <row r="367" spans="2:4" x14ac:dyDescent="0.3">
      <c r="B367" s="110"/>
      <c r="C367" s="110"/>
      <c r="D367" s="110"/>
    </row>
    <row r="368" spans="2:4" x14ac:dyDescent="0.3">
      <c r="B368" s="110"/>
      <c r="C368" s="110"/>
      <c r="D368" s="110"/>
    </row>
    <row r="369" spans="2:4" x14ac:dyDescent="0.3">
      <c r="B369" s="110"/>
      <c r="C369" s="110"/>
      <c r="D369" s="110"/>
    </row>
    <row r="370" spans="2:4" x14ac:dyDescent="0.3">
      <c r="B370" s="110"/>
      <c r="C370" s="110"/>
      <c r="D370" s="110"/>
    </row>
    <row r="371" spans="2:4" x14ac:dyDescent="0.3">
      <c r="B371" s="110"/>
      <c r="C371" s="110"/>
      <c r="D371" s="110"/>
    </row>
    <row r="372" spans="2:4" x14ac:dyDescent="0.3">
      <c r="B372" s="110"/>
      <c r="C372" s="110"/>
      <c r="D372" s="110"/>
    </row>
    <row r="373" spans="2:4" x14ac:dyDescent="0.3">
      <c r="B373" s="110"/>
      <c r="C373" s="110"/>
      <c r="D373" s="110"/>
    </row>
    <row r="374" spans="2:4" x14ac:dyDescent="0.3">
      <c r="B374" s="110"/>
      <c r="C374" s="110"/>
      <c r="D374" s="110"/>
    </row>
    <row r="375" spans="2:4" x14ac:dyDescent="0.3">
      <c r="B375" s="110"/>
      <c r="C375" s="110"/>
      <c r="D375" s="110"/>
    </row>
    <row r="376" spans="2:4" x14ac:dyDescent="0.3">
      <c r="B376" s="110"/>
      <c r="C376" s="110"/>
      <c r="D376" s="110"/>
    </row>
    <row r="377" spans="2:4" x14ac:dyDescent="0.3">
      <c r="B377" s="110"/>
      <c r="C377" s="110"/>
      <c r="D377" s="110"/>
    </row>
    <row r="378" spans="2:4" x14ac:dyDescent="0.3">
      <c r="B378" s="110"/>
      <c r="C378" s="110"/>
      <c r="D378" s="110"/>
    </row>
    <row r="379" spans="2:4" x14ac:dyDescent="0.3">
      <c r="B379" s="110"/>
      <c r="C379" s="110"/>
      <c r="D379" s="110"/>
    </row>
    <row r="380" spans="2:4" x14ac:dyDescent="0.3">
      <c r="B380" s="110"/>
      <c r="C380" s="110"/>
      <c r="D380" s="110"/>
    </row>
    <row r="381" spans="2:4" x14ac:dyDescent="0.3">
      <c r="B381" s="110"/>
      <c r="C381" s="110"/>
      <c r="D381" s="110"/>
    </row>
    <row r="382" spans="2:4" x14ac:dyDescent="0.3">
      <c r="B382" s="110"/>
      <c r="C382" s="110"/>
      <c r="D382" s="110"/>
    </row>
    <row r="383" spans="2:4" x14ac:dyDescent="0.3">
      <c r="B383" s="110"/>
      <c r="C383" s="110"/>
      <c r="D383" s="110"/>
    </row>
    <row r="384" spans="2:4" x14ac:dyDescent="0.3">
      <c r="B384" s="110"/>
      <c r="C384" s="110"/>
      <c r="D384" s="110"/>
    </row>
    <row r="385" spans="2:4" x14ac:dyDescent="0.3">
      <c r="B385" s="110"/>
      <c r="C385" s="110"/>
      <c r="D385" s="110"/>
    </row>
    <row r="386" spans="2:4" x14ac:dyDescent="0.3">
      <c r="B386" s="110"/>
      <c r="C386" s="110"/>
      <c r="D386" s="110"/>
    </row>
    <row r="387" spans="2:4" x14ac:dyDescent="0.3">
      <c r="B387" s="110"/>
      <c r="C387" s="110"/>
      <c r="D387" s="110"/>
    </row>
    <row r="388" spans="2:4" x14ac:dyDescent="0.3">
      <c r="B388" s="110"/>
      <c r="C388" s="110"/>
      <c r="D388" s="110"/>
    </row>
    <row r="389" spans="2:4" x14ac:dyDescent="0.3">
      <c r="B389" s="110"/>
      <c r="C389" s="110"/>
      <c r="D389" s="110"/>
    </row>
    <row r="390" spans="2:4" x14ac:dyDescent="0.3">
      <c r="B390" s="110"/>
      <c r="C390" s="110"/>
      <c r="D390" s="110"/>
    </row>
    <row r="391" spans="2:4" x14ac:dyDescent="0.3">
      <c r="B391" s="110"/>
      <c r="C391" s="110"/>
      <c r="D391" s="110"/>
    </row>
    <row r="392" spans="2:4" x14ac:dyDescent="0.3">
      <c r="B392" s="110"/>
      <c r="C392" s="110"/>
      <c r="D392" s="110"/>
    </row>
    <row r="393" spans="2:4" x14ac:dyDescent="0.3">
      <c r="B393" s="110"/>
      <c r="C393" s="110"/>
      <c r="D393" s="110"/>
    </row>
    <row r="394" spans="2:4" x14ac:dyDescent="0.3">
      <c r="B394" s="110"/>
      <c r="C394" s="110"/>
      <c r="D394" s="110"/>
    </row>
    <row r="395" spans="2:4" x14ac:dyDescent="0.3">
      <c r="B395" s="110"/>
      <c r="C395" s="110"/>
      <c r="D395" s="110"/>
    </row>
    <row r="396" spans="2:4" x14ac:dyDescent="0.3">
      <c r="B396" s="110"/>
      <c r="C396" s="110"/>
      <c r="D396" s="110"/>
    </row>
    <row r="397" spans="2:4" x14ac:dyDescent="0.3">
      <c r="B397" s="110"/>
      <c r="C397" s="110"/>
      <c r="D397" s="110"/>
    </row>
    <row r="398" spans="2:4" x14ac:dyDescent="0.3">
      <c r="B398" s="110"/>
      <c r="C398" s="110"/>
      <c r="D398" s="110"/>
    </row>
    <row r="399" spans="2:4" x14ac:dyDescent="0.3">
      <c r="B399" s="110"/>
      <c r="C399" s="110"/>
      <c r="D399" s="110"/>
    </row>
    <row r="400" spans="2:4" x14ac:dyDescent="0.3">
      <c r="B400" s="110"/>
      <c r="C400" s="110"/>
      <c r="D400" s="110"/>
    </row>
    <row r="401" spans="2:4" x14ac:dyDescent="0.3">
      <c r="B401" s="110"/>
      <c r="C401" s="110"/>
      <c r="D401" s="110"/>
    </row>
    <row r="402" spans="2:4" x14ac:dyDescent="0.3">
      <c r="B402" s="110"/>
      <c r="C402" s="110"/>
      <c r="D402" s="110"/>
    </row>
    <row r="403" spans="2:4" x14ac:dyDescent="0.3">
      <c r="B403" s="110"/>
      <c r="C403" s="110"/>
      <c r="D403" s="110"/>
    </row>
    <row r="404" spans="2:4" x14ac:dyDescent="0.3">
      <c r="B404" s="110"/>
      <c r="C404" s="110"/>
      <c r="D404" s="110"/>
    </row>
    <row r="405" spans="2:4" x14ac:dyDescent="0.3">
      <c r="B405" s="110"/>
      <c r="C405" s="110"/>
      <c r="D405" s="110"/>
    </row>
    <row r="406" spans="2:4" x14ac:dyDescent="0.3">
      <c r="B406" s="110"/>
      <c r="C406" s="110"/>
      <c r="D406" s="110"/>
    </row>
    <row r="407" spans="2:4" x14ac:dyDescent="0.3">
      <c r="B407" s="110"/>
      <c r="C407" s="110"/>
      <c r="D407" s="110"/>
    </row>
    <row r="408" spans="2:4" x14ac:dyDescent="0.3">
      <c r="B408" s="110"/>
      <c r="C408" s="110"/>
      <c r="D408" s="110"/>
    </row>
    <row r="409" spans="2:4" x14ac:dyDescent="0.3">
      <c r="B409" s="110"/>
      <c r="C409" s="110"/>
      <c r="D409" s="110"/>
    </row>
    <row r="410" spans="2:4" x14ac:dyDescent="0.3">
      <c r="B410" s="110"/>
      <c r="C410" s="110"/>
      <c r="D410" s="110"/>
    </row>
    <row r="411" spans="2:4" x14ac:dyDescent="0.3">
      <c r="B411" s="110"/>
      <c r="C411" s="110"/>
      <c r="D411" s="110"/>
    </row>
    <row r="412" spans="2:4" x14ac:dyDescent="0.3">
      <c r="B412" s="110"/>
      <c r="C412" s="110"/>
      <c r="D412" s="110"/>
    </row>
    <row r="413" spans="2:4" x14ac:dyDescent="0.3">
      <c r="B413" s="110"/>
      <c r="C413" s="110"/>
      <c r="D413" s="110"/>
    </row>
    <row r="414" spans="2:4" x14ac:dyDescent="0.3">
      <c r="B414" s="110"/>
      <c r="C414" s="110"/>
      <c r="D414" s="110"/>
    </row>
    <row r="415" spans="2:4" x14ac:dyDescent="0.3">
      <c r="B415" s="110"/>
      <c r="C415" s="110"/>
      <c r="D415" s="110"/>
    </row>
    <row r="416" spans="2:4" x14ac:dyDescent="0.3">
      <c r="B416" s="110"/>
      <c r="C416" s="110"/>
      <c r="D416" s="110"/>
    </row>
    <row r="417" spans="2:4" x14ac:dyDescent="0.3">
      <c r="B417" s="110"/>
      <c r="C417" s="110"/>
      <c r="D417" s="110"/>
    </row>
    <row r="418" spans="2:4" x14ac:dyDescent="0.3">
      <c r="B418" s="110"/>
      <c r="C418" s="110"/>
      <c r="D418" s="110"/>
    </row>
    <row r="419" spans="2:4" x14ac:dyDescent="0.3">
      <c r="B419" s="110"/>
      <c r="C419" s="110"/>
      <c r="D419" s="110"/>
    </row>
    <row r="420" spans="2:4" x14ac:dyDescent="0.3">
      <c r="B420" s="110"/>
      <c r="C420" s="110"/>
      <c r="D420" s="110"/>
    </row>
    <row r="421" spans="2:4" x14ac:dyDescent="0.3">
      <c r="B421" s="110"/>
      <c r="C421" s="110"/>
      <c r="D421" s="110"/>
    </row>
    <row r="422" spans="2:4" x14ac:dyDescent="0.3">
      <c r="B422" s="110"/>
      <c r="C422" s="110"/>
      <c r="D422" s="110"/>
    </row>
    <row r="423" spans="2:4" x14ac:dyDescent="0.3">
      <c r="B423" s="110"/>
      <c r="C423" s="110"/>
      <c r="D423" s="110"/>
    </row>
    <row r="424" spans="2:4" x14ac:dyDescent="0.3">
      <c r="B424" s="110"/>
      <c r="C424" s="110"/>
      <c r="D424" s="110"/>
    </row>
    <row r="425" spans="2:4" x14ac:dyDescent="0.3">
      <c r="B425" s="110"/>
      <c r="C425" s="110"/>
      <c r="D425" s="110"/>
    </row>
    <row r="426" spans="2:4" x14ac:dyDescent="0.3">
      <c r="B426" s="110"/>
      <c r="C426" s="110"/>
      <c r="D426" s="110"/>
    </row>
    <row r="427" spans="2:4" x14ac:dyDescent="0.3">
      <c r="B427" s="110"/>
      <c r="C427" s="110"/>
      <c r="D427" s="110"/>
    </row>
    <row r="428" spans="2:4" x14ac:dyDescent="0.3">
      <c r="B428" s="110"/>
      <c r="C428" s="110"/>
      <c r="D428" s="110"/>
    </row>
    <row r="429" spans="2:4" x14ac:dyDescent="0.3">
      <c r="B429" s="110"/>
      <c r="C429" s="110"/>
      <c r="D429" s="110"/>
    </row>
    <row r="430" spans="2:4" x14ac:dyDescent="0.3">
      <c r="B430" s="110"/>
      <c r="C430" s="110"/>
      <c r="D430" s="110"/>
    </row>
    <row r="431" spans="2:4" x14ac:dyDescent="0.3">
      <c r="B431" s="110"/>
      <c r="C431" s="110"/>
      <c r="D431" s="110"/>
    </row>
    <row r="432" spans="2:4" x14ac:dyDescent="0.3">
      <c r="B432" s="110"/>
      <c r="C432" s="110"/>
      <c r="D432" s="110"/>
    </row>
    <row r="433" spans="2:4" x14ac:dyDescent="0.3">
      <c r="B433" s="110"/>
      <c r="C433" s="110"/>
      <c r="D433" s="110"/>
    </row>
    <row r="434" spans="2:4" x14ac:dyDescent="0.3">
      <c r="B434" s="110"/>
      <c r="C434" s="110"/>
      <c r="D434" s="110"/>
    </row>
    <row r="435" spans="2:4" x14ac:dyDescent="0.3">
      <c r="B435" s="110"/>
      <c r="C435" s="110"/>
      <c r="D435" s="110"/>
    </row>
    <row r="436" spans="2:4" x14ac:dyDescent="0.3">
      <c r="B436" s="110"/>
      <c r="C436" s="110"/>
      <c r="D436" s="110"/>
    </row>
    <row r="437" spans="2:4" x14ac:dyDescent="0.3">
      <c r="B437" s="110"/>
      <c r="C437" s="110"/>
      <c r="D437" s="110"/>
    </row>
    <row r="438" spans="2:4" x14ac:dyDescent="0.3">
      <c r="B438" s="110"/>
      <c r="C438" s="110"/>
      <c r="D438" s="110"/>
    </row>
    <row r="439" spans="2:4" x14ac:dyDescent="0.3">
      <c r="B439" s="110"/>
      <c r="C439" s="110"/>
      <c r="D439" s="110"/>
    </row>
    <row r="440" spans="2:4" x14ac:dyDescent="0.3">
      <c r="B440" s="110"/>
      <c r="C440" s="110"/>
      <c r="D440" s="110"/>
    </row>
    <row r="441" spans="2:4" x14ac:dyDescent="0.3">
      <c r="B441" s="110"/>
      <c r="C441" s="110"/>
      <c r="D441" s="110"/>
    </row>
    <row r="442" spans="2:4" x14ac:dyDescent="0.3">
      <c r="B442" s="110"/>
      <c r="C442" s="110"/>
      <c r="D442" s="110"/>
    </row>
    <row r="443" spans="2:4" x14ac:dyDescent="0.3">
      <c r="B443" s="110"/>
      <c r="C443" s="110"/>
      <c r="D443" s="110"/>
    </row>
    <row r="444" spans="2:4" x14ac:dyDescent="0.3">
      <c r="B444" s="110"/>
      <c r="C444" s="110"/>
      <c r="D444" s="110"/>
    </row>
    <row r="445" spans="2:4" x14ac:dyDescent="0.3">
      <c r="B445" s="110"/>
      <c r="C445" s="110"/>
      <c r="D445" s="110"/>
    </row>
    <row r="446" spans="2:4" x14ac:dyDescent="0.3">
      <c r="B446" s="110"/>
      <c r="C446" s="110"/>
      <c r="D446" s="110"/>
    </row>
    <row r="447" spans="2:4" x14ac:dyDescent="0.3">
      <c r="B447" s="110"/>
      <c r="C447" s="110"/>
      <c r="D447" s="110"/>
    </row>
    <row r="448" spans="2:4" x14ac:dyDescent="0.3">
      <c r="B448" s="110"/>
      <c r="C448" s="110"/>
      <c r="D448" s="110"/>
    </row>
    <row r="449" spans="2:4" x14ac:dyDescent="0.3">
      <c r="B449" s="110"/>
      <c r="C449" s="110"/>
      <c r="D449" s="110"/>
    </row>
    <row r="450" spans="2:4" x14ac:dyDescent="0.3">
      <c r="B450" s="110"/>
      <c r="C450" s="110"/>
      <c r="D450" s="110"/>
    </row>
    <row r="451" spans="2:4" x14ac:dyDescent="0.3">
      <c r="B451" s="110"/>
      <c r="C451" s="110"/>
      <c r="D451" s="110"/>
    </row>
    <row r="452" spans="2:4" x14ac:dyDescent="0.3">
      <c r="B452" s="110"/>
      <c r="C452" s="110"/>
      <c r="D452" s="110"/>
    </row>
    <row r="453" spans="2:4" x14ac:dyDescent="0.3">
      <c r="B453" s="110"/>
      <c r="C453" s="110"/>
      <c r="D453" s="110"/>
    </row>
    <row r="454" spans="2:4" x14ac:dyDescent="0.3">
      <c r="B454" s="110"/>
      <c r="C454" s="110"/>
      <c r="D454" s="110"/>
    </row>
    <row r="455" spans="2:4" x14ac:dyDescent="0.3">
      <c r="B455" s="110"/>
      <c r="C455" s="110"/>
      <c r="D455" s="110"/>
    </row>
    <row r="456" spans="2:4" x14ac:dyDescent="0.3">
      <c r="B456" s="110"/>
      <c r="C456" s="110"/>
      <c r="D456" s="110"/>
    </row>
    <row r="457" spans="2:4" x14ac:dyDescent="0.3">
      <c r="B457" s="110"/>
      <c r="C457" s="110"/>
      <c r="D457" s="110"/>
    </row>
    <row r="458" spans="2:4" x14ac:dyDescent="0.3">
      <c r="B458" s="110"/>
      <c r="C458" s="110"/>
      <c r="D458" s="110"/>
    </row>
    <row r="459" spans="2:4" x14ac:dyDescent="0.3">
      <c r="B459" s="110"/>
      <c r="C459" s="110"/>
      <c r="D459" s="110"/>
    </row>
    <row r="460" spans="2:4" x14ac:dyDescent="0.3">
      <c r="B460" s="110"/>
      <c r="C460" s="110"/>
      <c r="D460" s="110"/>
    </row>
    <row r="461" spans="2:4" x14ac:dyDescent="0.3">
      <c r="B461" s="110"/>
      <c r="C461" s="110"/>
      <c r="D461" s="110"/>
    </row>
    <row r="462" spans="2:4" x14ac:dyDescent="0.3">
      <c r="B462" s="110"/>
      <c r="C462" s="110"/>
      <c r="D462" s="110"/>
    </row>
    <row r="463" spans="2:4" x14ac:dyDescent="0.3">
      <c r="B463" s="110"/>
      <c r="C463" s="110"/>
      <c r="D463" s="110"/>
    </row>
    <row r="464" spans="2:4" x14ac:dyDescent="0.3">
      <c r="B464" s="110"/>
      <c r="C464" s="110"/>
      <c r="D464" s="110"/>
    </row>
    <row r="465" spans="2:4" x14ac:dyDescent="0.3">
      <c r="B465" s="110"/>
      <c r="C465" s="110"/>
      <c r="D465" s="110"/>
    </row>
    <row r="466" spans="2:4" x14ac:dyDescent="0.3">
      <c r="B466" s="110"/>
      <c r="C466" s="110"/>
      <c r="D466" s="110"/>
    </row>
    <row r="467" spans="2:4" x14ac:dyDescent="0.3">
      <c r="B467" s="110"/>
      <c r="C467" s="110"/>
      <c r="D467" s="110"/>
    </row>
    <row r="468" spans="2:4" x14ac:dyDescent="0.3">
      <c r="B468" s="110"/>
      <c r="C468" s="110"/>
      <c r="D468" s="110"/>
    </row>
    <row r="469" spans="2:4" x14ac:dyDescent="0.3">
      <c r="B469" s="110"/>
      <c r="C469" s="110"/>
      <c r="D469" s="110"/>
    </row>
    <row r="470" spans="2:4" x14ac:dyDescent="0.3">
      <c r="B470" s="110"/>
      <c r="C470" s="110"/>
      <c r="D470" s="110"/>
    </row>
    <row r="471" spans="2:4" x14ac:dyDescent="0.3">
      <c r="B471" s="110"/>
      <c r="C471" s="110"/>
      <c r="D471" s="110"/>
    </row>
    <row r="472" spans="2:4" x14ac:dyDescent="0.3">
      <c r="B472" s="110"/>
      <c r="C472" s="110"/>
      <c r="D472" s="110"/>
    </row>
    <row r="473" spans="2:4" x14ac:dyDescent="0.3">
      <c r="B473" s="110"/>
      <c r="C473" s="110"/>
      <c r="D473" s="110"/>
    </row>
    <row r="474" spans="2:4" x14ac:dyDescent="0.3">
      <c r="B474" s="110"/>
      <c r="C474" s="110"/>
      <c r="D474" s="110"/>
    </row>
    <row r="475" spans="2:4" x14ac:dyDescent="0.3">
      <c r="B475" s="110"/>
      <c r="C475" s="110"/>
      <c r="D475" s="110"/>
    </row>
    <row r="476" spans="2:4" x14ac:dyDescent="0.3">
      <c r="B476" s="110"/>
      <c r="C476" s="110"/>
      <c r="D476" s="110"/>
    </row>
    <row r="477" spans="2:4" x14ac:dyDescent="0.3">
      <c r="B477" s="110"/>
      <c r="C477" s="110"/>
      <c r="D477" s="110"/>
    </row>
    <row r="478" spans="2:4" x14ac:dyDescent="0.3">
      <c r="B478" s="110"/>
      <c r="C478" s="110"/>
      <c r="D478" s="110"/>
    </row>
    <row r="479" spans="2:4" x14ac:dyDescent="0.3">
      <c r="B479" s="110"/>
      <c r="C479" s="110"/>
      <c r="D479" s="110"/>
    </row>
    <row r="480" spans="2:4" x14ac:dyDescent="0.3">
      <c r="B480" s="110"/>
      <c r="C480" s="110"/>
      <c r="D480" s="110"/>
    </row>
    <row r="481" spans="2:4" x14ac:dyDescent="0.3">
      <c r="B481" s="110"/>
      <c r="C481" s="110"/>
      <c r="D481" s="110"/>
    </row>
    <row r="482" spans="2:4" x14ac:dyDescent="0.3">
      <c r="B482" s="110"/>
      <c r="C482" s="110"/>
      <c r="D482" s="110"/>
    </row>
    <row r="483" spans="2:4" x14ac:dyDescent="0.3">
      <c r="B483" s="110"/>
      <c r="C483" s="110"/>
      <c r="D483" s="110"/>
    </row>
    <row r="484" spans="2:4" x14ac:dyDescent="0.3">
      <c r="B484" s="110"/>
      <c r="C484" s="110"/>
      <c r="D484" s="110"/>
    </row>
    <row r="485" spans="2:4" x14ac:dyDescent="0.3">
      <c r="B485" s="110"/>
      <c r="C485" s="110"/>
      <c r="D485" s="110"/>
    </row>
    <row r="486" spans="2:4" x14ac:dyDescent="0.3">
      <c r="B486" s="110"/>
      <c r="C486" s="110"/>
      <c r="D486" s="110"/>
    </row>
    <row r="487" spans="2:4" x14ac:dyDescent="0.3">
      <c r="B487" s="110"/>
      <c r="C487" s="110"/>
      <c r="D487" s="110"/>
    </row>
    <row r="488" spans="2:4" x14ac:dyDescent="0.3">
      <c r="B488" s="110"/>
      <c r="C488" s="110"/>
      <c r="D488" s="110"/>
    </row>
    <row r="489" spans="2:4" x14ac:dyDescent="0.3">
      <c r="B489" s="110"/>
      <c r="C489" s="110"/>
      <c r="D489" s="110"/>
    </row>
    <row r="490" spans="2:4" x14ac:dyDescent="0.3">
      <c r="B490" s="110"/>
      <c r="C490" s="110"/>
      <c r="D490" s="110"/>
    </row>
    <row r="491" spans="2:4" x14ac:dyDescent="0.3">
      <c r="B491" s="110"/>
      <c r="C491" s="110"/>
      <c r="D491" s="110"/>
    </row>
    <row r="492" spans="2:4" x14ac:dyDescent="0.3">
      <c r="B492" s="110"/>
      <c r="C492" s="110"/>
      <c r="D492" s="110"/>
    </row>
    <row r="493" spans="2:4" x14ac:dyDescent="0.3">
      <c r="B493" s="110"/>
      <c r="C493" s="110"/>
      <c r="D493" s="110"/>
    </row>
    <row r="494" spans="2:4" x14ac:dyDescent="0.3">
      <c r="B494" s="110"/>
      <c r="C494" s="110"/>
      <c r="D494" s="110"/>
    </row>
    <row r="495" spans="2:4" x14ac:dyDescent="0.3">
      <c r="B495" s="110"/>
      <c r="C495" s="110"/>
      <c r="D495" s="110"/>
    </row>
    <row r="496" spans="2:4" x14ac:dyDescent="0.3">
      <c r="B496" s="110"/>
      <c r="C496" s="110"/>
      <c r="D496" s="110"/>
    </row>
    <row r="497" spans="2:4" x14ac:dyDescent="0.3">
      <c r="B497" s="110"/>
      <c r="C497" s="110"/>
      <c r="D497" s="110"/>
    </row>
    <row r="498" spans="2:4" x14ac:dyDescent="0.3">
      <c r="B498" s="110"/>
      <c r="C498" s="110"/>
      <c r="D498" s="110"/>
    </row>
    <row r="499" spans="2:4" x14ac:dyDescent="0.3">
      <c r="B499" s="110"/>
      <c r="C499" s="110"/>
      <c r="D499" s="110"/>
    </row>
    <row r="500" spans="2:4" x14ac:dyDescent="0.3">
      <c r="B500" s="110"/>
      <c r="C500" s="110"/>
      <c r="D500" s="110"/>
    </row>
    <row r="501" spans="2:4" x14ac:dyDescent="0.3">
      <c r="B501" s="110"/>
      <c r="C501" s="110"/>
      <c r="D501" s="110"/>
    </row>
    <row r="502" spans="2:4" x14ac:dyDescent="0.3">
      <c r="B502" s="110"/>
      <c r="C502" s="110"/>
      <c r="D502" s="110"/>
    </row>
    <row r="503" spans="2:4" x14ac:dyDescent="0.3">
      <c r="B503" s="110"/>
      <c r="C503" s="110"/>
      <c r="D503" s="110"/>
    </row>
    <row r="504" spans="2:4" x14ac:dyDescent="0.3">
      <c r="B504" s="110"/>
      <c r="C504" s="110"/>
      <c r="D504" s="110"/>
    </row>
    <row r="505" spans="2:4" x14ac:dyDescent="0.3">
      <c r="B505" s="110"/>
      <c r="C505" s="110"/>
      <c r="D505" s="110"/>
    </row>
    <row r="506" spans="2:4" x14ac:dyDescent="0.3">
      <c r="B506" s="110"/>
      <c r="C506" s="110"/>
      <c r="D506" s="110"/>
    </row>
    <row r="507" spans="2:4" x14ac:dyDescent="0.3">
      <c r="B507" s="110"/>
      <c r="C507" s="110"/>
      <c r="D507" s="110"/>
    </row>
    <row r="508" spans="2:4" x14ac:dyDescent="0.3">
      <c r="B508" s="110"/>
      <c r="C508" s="110"/>
      <c r="D508" s="110"/>
    </row>
    <row r="509" spans="2:4" x14ac:dyDescent="0.3">
      <c r="B509" s="110"/>
      <c r="C509" s="110"/>
      <c r="D509" s="110"/>
    </row>
    <row r="510" spans="2:4" x14ac:dyDescent="0.3">
      <c r="B510" s="110"/>
      <c r="C510" s="110"/>
      <c r="D510" s="110"/>
    </row>
    <row r="511" spans="2:4" x14ac:dyDescent="0.3">
      <c r="B511" s="110"/>
      <c r="C511" s="110"/>
      <c r="D511" s="110"/>
    </row>
    <row r="512" spans="2:4" x14ac:dyDescent="0.3">
      <c r="B512" s="110"/>
      <c r="C512" s="110"/>
      <c r="D512" s="110"/>
    </row>
    <row r="513" spans="2:4" x14ac:dyDescent="0.3">
      <c r="B513" s="110"/>
      <c r="C513" s="110"/>
      <c r="D513" s="110"/>
    </row>
    <row r="514" spans="2:4" x14ac:dyDescent="0.3">
      <c r="B514" s="110"/>
      <c r="C514" s="110"/>
      <c r="D514" s="110"/>
    </row>
    <row r="515" spans="2:4" x14ac:dyDescent="0.3">
      <c r="B515" s="110"/>
      <c r="C515" s="110"/>
      <c r="D515" s="110"/>
    </row>
    <row r="516" spans="2:4" x14ac:dyDescent="0.3">
      <c r="B516" s="110"/>
      <c r="C516" s="110"/>
      <c r="D516" s="110"/>
    </row>
    <row r="517" spans="2:4" x14ac:dyDescent="0.3">
      <c r="B517" s="110"/>
      <c r="C517" s="110"/>
      <c r="D517" s="110"/>
    </row>
    <row r="518" spans="2:4" x14ac:dyDescent="0.3">
      <c r="B518" s="110"/>
      <c r="C518" s="110"/>
      <c r="D518" s="110"/>
    </row>
    <row r="519" spans="2:4" x14ac:dyDescent="0.3">
      <c r="B519" s="110"/>
      <c r="C519" s="110"/>
      <c r="D519" s="110"/>
    </row>
    <row r="520" spans="2:4" x14ac:dyDescent="0.3">
      <c r="B520" s="110"/>
      <c r="C520" s="110"/>
      <c r="D520" s="110"/>
    </row>
    <row r="521" spans="2:4" x14ac:dyDescent="0.3">
      <c r="B521" s="110"/>
      <c r="C521" s="110"/>
      <c r="D521" s="110"/>
    </row>
    <row r="522" spans="2:4" x14ac:dyDescent="0.3">
      <c r="B522" s="110"/>
      <c r="C522" s="110"/>
      <c r="D522" s="110"/>
    </row>
    <row r="523" spans="2:4" x14ac:dyDescent="0.3">
      <c r="B523" s="110"/>
      <c r="C523" s="110"/>
      <c r="D523" s="110"/>
    </row>
    <row r="524" spans="2:4" x14ac:dyDescent="0.3">
      <c r="B524" s="110"/>
      <c r="C524" s="110"/>
      <c r="D524" s="110"/>
    </row>
    <row r="525" spans="2:4" x14ac:dyDescent="0.3">
      <c r="B525" s="110"/>
      <c r="C525" s="110"/>
      <c r="D525" s="110"/>
    </row>
    <row r="526" spans="2:4" x14ac:dyDescent="0.3">
      <c r="B526" s="110"/>
      <c r="C526" s="110"/>
      <c r="D526" s="110"/>
    </row>
    <row r="527" spans="2:4" x14ac:dyDescent="0.3">
      <c r="B527" s="110"/>
      <c r="C527" s="110"/>
      <c r="D527" s="110"/>
    </row>
    <row r="528" spans="2:4" x14ac:dyDescent="0.3">
      <c r="B528" s="110"/>
      <c r="C528" s="110"/>
      <c r="D528" s="110"/>
    </row>
    <row r="529" spans="2:4" x14ac:dyDescent="0.3">
      <c r="B529" s="110"/>
      <c r="C529" s="110"/>
      <c r="D529" s="110"/>
    </row>
    <row r="530" spans="2:4" x14ac:dyDescent="0.3">
      <c r="B530" s="110"/>
      <c r="C530" s="110"/>
      <c r="D530" s="110"/>
    </row>
    <row r="531" spans="2:4" x14ac:dyDescent="0.3">
      <c r="B531" s="110"/>
      <c r="C531" s="110"/>
      <c r="D531" s="110"/>
    </row>
    <row r="532" spans="2:4" x14ac:dyDescent="0.3">
      <c r="B532" s="110"/>
      <c r="C532" s="110"/>
      <c r="D532" s="110"/>
    </row>
    <row r="533" spans="2:4" x14ac:dyDescent="0.3">
      <c r="B533" s="110"/>
      <c r="C533" s="110"/>
      <c r="D533" s="110"/>
    </row>
    <row r="534" spans="2:4" x14ac:dyDescent="0.3">
      <c r="B534" s="110"/>
      <c r="C534" s="110"/>
      <c r="D534" s="110"/>
    </row>
    <row r="535" spans="2:4" x14ac:dyDescent="0.3">
      <c r="B535" s="110"/>
      <c r="C535" s="110"/>
      <c r="D535" s="110"/>
    </row>
    <row r="536" spans="2:4" x14ac:dyDescent="0.3">
      <c r="B536" s="110"/>
      <c r="C536" s="110"/>
      <c r="D536" s="110"/>
    </row>
    <row r="537" spans="2:4" x14ac:dyDescent="0.3">
      <c r="B537" s="110"/>
      <c r="C537" s="110"/>
      <c r="D537" s="110"/>
    </row>
    <row r="538" spans="2:4" x14ac:dyDescent="0.3">
      <c r="B538" s="110"/>
      <c r="C538" s="110"/>
      <c r="D538" s="110"/>
    </row>
    <row r="539" spans="2:4" x14ac:dyDescent="0.3">
      <c r="B539" s="110"/>
      <c r="C539" s="110"/>
      <c r="D539" s="110"/>
    </row>
    <row r="540" spans="2:4" x14ac:dyDescent="0.3">
      <c r="B540" s="110"/>
      <c r="C540" s="110"/>
      <c r="D540" s="110"/>
    </row>
    <row r="541" spans="2:4" x14ac:dyDescent="0.3">
      <c r="B541" s="110"/>
      <c r="C541" s="110"/>
      <c r="D541" s="110"/>
    </row>
    <row r="542" spans="2:4" x14ac:dyDescent="0.3">
      <c r="B542" s="110"/>
      <c r="C542" s="110"/>
      <c r="D542" s="110"/>
    </row>
    <row r="543" spans="2:4" x14ac:dyDescent="0.3">
      <c r="B543" s="110"/>
      <c r="C543" s="110"/>
      <c r="D543" s="110"/>
    </row>
    <row r="544" spans="2:4" x14ac:dyDescent="0.3">
      <c r="B544" s="110"/>
      <c r="C544" s="110"/>
      <c r="D544" s="110"/>
    </row>
    <row r="545" spans="2:4" x14ac:dyDescent="0.3">
      <c r="B545" s="110"/>
      <c r="C545" s="110"/>
      <c r="D545" s="110"/>
    </row>
    <row r="546" spans="2:4" x14ac:dyDescent="0.3">
      <c r="B546" s="110"/>
      <c r="C546" s="110"/>
      <c r="D546" s="110"/>
    </row>
    <row r="547" spans="2:4" x14ac:dyDescent="0.3">
      <c r="B547" s="110"/>
      <c r="C547" s="110"/>
      <c r="D547" s="110"/>
    </row>
    <row r="548" spans="2:4" x14ac:dyDescent="0.3">
      <c r="B548" s="110"/>
      <c r="C548" s="110"/>
      <c r="D548" s="110"/>
    </row>
    <row r="549" spans="2:4" x14ac:dyDescent="0.3">
      <c r="B549" s="110"/>
      <c r="C549" s="110"/>
      <c r="D549" s="110"/>
    </row>
    <row r="550" spans="2:4" x14ac:dyDescent="0.3">
      <c r="B550" s="110"/>
      <c r="C550" s="110"/>
      <c r="D550" s="110"/>
    </row>
    <row r="551" spans="2:4" x14ac:dyDescent="0.3">
      <c r="B551" s="110"/>
      <c r="C551" s="110"/>
      <c r="D551" s="110"/>
    </row>
    <row r="552" spans="2:4" x14ac:dyDescent="0.3">
      <c r="B552" s="110"/>
      <c r="C552" s="110"/>
      <c r="D552" s="110"/>
    </row>
    <row r="553" spans="2:4" x14ac:dyDescent="0.3">
      <c r="B553" s="110"/>
      <c r="C553" s="110"/>
      <c r="D553" s="110"/>
    </row>
    <row r="554" spans="2:4" x14ac:dyDescent="0.3">
      <c r="B554" s="110"/>
      <c r="C554" s="110"/>
      <c r="D554" s="110"/>
    </row>
    <row r="555" spans="2:4" x14ac:dyDescent="0.3">
      <c r="B555" s="110"/>
      <c r="C555" s="110"/>
      <c r="D555" s="110"/>
    </row>
    <row r="556" spans="2:4" x14ac:dyDescent="0.3">
      <c r="B556" s="110"/>
      <c r="C556" s="110"/>
      <c r="D556" s="110"/>
    </row>
    <row r="557" spans="2:4" x14ac:dyDescent="0.3">
      <c r="B557" s="110"/>
      <c r="C557" s="110"/>
      <c r="D557" s="110"/>
    </row>
    <row r="558" spans="2:4" x14ac:dyDescent="0.3">
      <c r="B558" s="110"/>
      <c r="C558" s="110"/>
      <c r="D558" s="110"/>
    </row>
    <row r="559" spans="2:4" x14ac:dyDescent="0.3">
      <c r="B559" s="110"/>
      <c r="C559" s="110"/>
      <c r="D559" s="110"/>
    </row>
    <row r="560" spans="2:4" x14ac:dyDescent="0.3">
      <c r="B560" s="110"/>
      <c r="C560" s="110"/>
      <c r="D560" s="110"/>
    </row>
    <row r="561" spans="2:4" x14ac:dyDescent="0.3">
      <c r="B561" s="110"/>
      <c r="C561" s="110"/>
      <c r="D561" s="110"/>
    </row>
    <row r="562" spans="2:4" x14ac:dyDescent="0.3">
      <c r="B562" s="110"/>
      <c r="C562" s="110"/>
      <c r="D562" s="110"/>
    </row>
    <row r="563" spans="2:4" x14ac:dyDescent="0.3">
      <c r="B563" s="110"/>
      <c r="C563" s="110"/>
      <c r="D563" s="110"/>
    </row>
    <row r="564" spans="2:4" x14ac:dyDescent="0.3">
      <c r="B564" s="110"/>
      <c r="C564" s="110"/>
      <c r="D564" s="110"/>
    </row>
    <row r="565" spans="2:4" x14ac:dyDescent="0.3">
      <c r="B565" s="110"/>
      <c r="C565" s="110"/>
      <c r="D565" s="110"/>
    </row>
    <row r="566" spans="2:4" x14ac:dyDescent="0.3">
      <c r="B566" s="110"/>
      <c r="C566" s="110"/>
      <c r="D566" s="110"/>
    </row>
    <row r="567" spans="2:4" x14ac:dyDescent="0.3">
      <c r="B567" s="110"/>
      <c r="C567" s="110"/>
      <c r="D567" s="110"/>
    </row>
    <row r="568" spans="2:4" x14ac:dyDescent="0.3">
      <c r="B568" s="110"/>
      <c r="C568" s="110"/>
      <c r="D568" s="110"/>
    </row>
    <row r="569" spans="2:4" x14ac:dyDescent="0.3">
      <c r="B569" s="110"/>
      <c r="C569" s="110"/>
      <c r="D569" s="110"/>
    </row>
    <row r="570" spans="2:4" x14ac:dyDescent="0.3">
      <c r="B570" s="110"/>
      <c r="C570" s="110"/>
      <c r="D570" s="110"/>
    </row>
    <row r="571" spans="2:4" x14ac:dyDescent="0.3">
      <c r="B571" s="110"/>
      <c r="C571" s="110"/>
      <c r="D571" s="110"/>
    </row>
    <row r="572" spans="2:4" x14ac:dyDescent="0.3">
      <c r="B572" s="110"/>
      <c r="C572" s="110"/>
      <c r="D572" s="110"/>
    </row>
    <row r="573" spans="2:4" x14ac:dyDescent="0.3">
      <c r="B573" s="110"/>
      <c r="C573" s="110"/>
      <c r="D573" s="110"/>
    </row>
    <row r="574" spans="2:4" x14ac:dyDescent="0.3">
      <c r="B574" s="110"/>
      <c r="C574" s="110"/>
      <c r="D574" s="110"/>
    </row>
    <row r="575" spans="2:4" x14ac:dyDescent="0.3">
      <c r="B575" s="110"/>
      <c r="C575" s="110"/>
      <c r="D575" s="110"/>
    </row>
    <row r="576" spans="2:4" x14ac:dyDescent="0.3">
      <c r="B576" s="110"/>
      <c r="C576" s="110"/>
      <c r="D576" s="110"/>
    </row>
    <row r="577" spans="2:4" x14ac:dyDescent="0.3">
      <c r="B577" s="110"/>
      <c r="C577" s="110"/>
      <c r="D577" s="110"/>
    </row>
    <row r="578" spans="2:4" x14ac:dyDescent="0.3">
      <c r="B578" s="110"/>
      <c r="C578" s="110"/>
      <c r="D578" s="110"/>
    </row>
    <row r="579" spans="2:4" x14ac:dyDescent="0.3">
      <c r="B579" s="110"/>
      <c r="C579" s="110"/>
      <c r="D579" s="110"/>
    </row>
    <row r="580" spans="2:4" x14ac:dyDescent="0.3">
      <c r="B580" s="110"/>
      <c r="C580" s="110"/>
      <c r="D580" s="110"/>
    </row>
    <row r="581" spans="2:4" x14ac:dyDescent="0.3">
      <c r="B581" s="110"/>
      <c r="C581" s="110"/>
      <c r="D581" s="110"/>
    </row>
    <row r="582" spans="2:4" x14ac:dyDescent="0.3">
      <c r="B582" s="110"/>
      <c r="C582" s="110"/>
      <c r="D582" s="110"/>
    </row>
    <row r="583" spans="2:4" x14ac:dyDescent="0.3">
      <c r="B583" s="110"/>
      <c r="C583" s="110"/>
      <c r="D583" s="110"/>
    </row>
    <row r="584" spans="2:4" x14ac:dyDescent="0.3">
      <c r="B584" s="110"/>
      <c r="C584" s="110"/>
      <c r="D584" s="110"/>
    </row>
    <row r="585" spans="2:4" x14ac:dyDescent="0.3">
      <c r="B585" s="110"/>
      <c r="C585" s="110"/>
      <c r="D585" s="110"/>
    </row>
    <row r="586" spans="2:4" x14ac:dyDescent="0.3">
      <c r="B586" s="110"/>
      <c r="C586" s="110"/>
      <c r="D586" s="110"/>
    </row>
    <row r="587" spans="2:4" x14ac:dyDescent="0.3">
      <c r="B587" s="110"/>
      <c r="C587" s="110"/>
      <c r="D587" s="110"/>
    </row>
    <row r="588" spans="2:4" x14ac:dyDescent="0.3">
      <c r="B588" s="110"/>
      <c r="C588" s="110"/>
      <c r="D588" s="110"/>
    </row>
    <row r="589" spans="2:4" x14ac:dyDescent="0.3">
      <c r="B589" s="110"/>
      <c r="C589" s="110"/>
      <c r="D589" s="110"/>
    </row>
    <row r="590" spans="2:4" x14ac:dyDescent="0.3">
      <c r="B590" s="110"/>
      <c r="C590" s="110"/>
      <c r="D590" s="110"/>
    </row>
    <row r="591" spans="2:4" x14ac:dyDescent="0.3">
      <c r="B591" s="110"/>
      <c r="C591" s="110"/>
      <c r="D591" s="110"/>
    </row>
    <row r="592" spans="2:4" x14ac:dyDescent="0.3">
      <c r="B592" s="110"/>
      <c r="C592" s="110"/>
      <c r="D592" s="110"/>
    </row>
    <row r="593" spans="2:4" x14ac:dyDescent="0.3">
      <c r="B593" s="110"/>
      <c r="C593" s="110"/>
      <c r="D593" s="110"/>
    </row>
    <row r="594" spans="2:4" x14ac:dyDescent="0.3">
      <c r="B594" s="110"/>
      <c r="C594" s="110"/>
      <c r="D594" s="110"/>
    </row>
    <row r="595" spans="2:4" x14ac:dyDescent="0.3">
      <c r="B595" s="110"/>
      <c r="C595" s="110"/>
      <c r="D595" s="110"/>
    </row>
    <row r="596" spans="2:4" x14ac:dyDescent="0.3">
      <c r="B596" s="110"/>
      <c r="C596" s="110"/>
      <c r="D596" s="110"/>
    </row>
    <row r="597" spans="2:4" x14ac:dyDescent="0.3">
      <c r="B597" s="110"/>
      <c r="C597" s="110"/>
      <c r="D597" s="110"/>
    </row>
    <row r="598" spans="2:4" x14ac:dyDescent="0.3">
      <c r="B598" s="110"/>
      <c r="C598" s="110"/>
      <c r="D598" s="110"/>
    </row>
    <row r="599" spans="2:4" x14ac:dyDescent="0.3">
      <c r="B599" s="110"/>
      <c r="C599" s="110"/>
      <c r="D599" s="110"/>
    </row>
    <row r="600" spans="2:4" x14ac:dyDescent="0.3">
      <c r="B600" s="110"/>
      <c r="C600" s="110"/>
      <c r="D600" s="110"/>
    </row>
    <row r="601" spans="2:4" x14ac:dyDescent="0.3">
      <c r="B601" s="110"/>
      <c r="C601" s="110"/>
      <c r="D601" s="110"/>
    </row>
    <row r="602" spans="2:4" x14ac:dyDescent="0.3">
      <c r="B602" s="110"/>
      <c r="C602" s="110"/>
      <c r="D602" s="110"/>
    </row>
    <row r="603" spans="2:4" x14ac:dyDescent="0.3">
      <c r="B603" s="110"/>
      <c r="C603" s="110"/>
      <c r="D603" s="110"/>
    </row>
    <row r="604" spans="2:4" x14ac:dyDescent="0.3">
      <c r="B604" s="110"/>
      <c r="C604" s="110"/>
      <c r="D604" s="110"/>
    </row>
    <row r="605" spans="2:4" x14ac:dyDescent="0.3">
      <c r="B605" s="110"/>
      <c r="C605" s="110"/>
      <c r="D605" s="110"/>
    </row>
    <row r="606" spans="2:4" x14ac:dyDescent="0.3">
      <c r="B606" s="110"/>
      <c r="C606" s="110"/>
      <c r="D606" s="110"/>
    </row>
    <row r="607" spans="2:4" x14ac:dyDescent="0.3">
      <c r="B607" s="110"/>
      <c r="C607" s="110"/>
      <c r="D607" s="110"/>
    </row>
    <row r="608" spans="2:4" x14ac:dyDescent="0.3">
      <c r="B608" s="110"/>
      <c r="C608" s="110"/>
      <c r="D608" s="110"/>
    </row>
    <row r="609" spans="2:4" x14ac:dyDescent="0.3">
      <c r="B609" s="110"/>
      <c r="C609" s="110"/>
      <c r="D609" s="110"/>
    </row>
    <row r="610" spans="2:4" x14ac:dyDescent="0.3">
      <c r="B610" s="110"/>
      <c r="C610" s="110"/>
      <c r="D610" s="110"/>
    </row>
    <row r="611" spans="2:4" x14ac:dyDescent="0.3">
      <c r="B611" s="110"/>
      <c r="C611" s="110"/>
      <c r="D611" s="110"/>
    </row>
    <row r="612" spans="2:4" x14ac:dyDescent="0.3">
      <c r="B612" s="110"/>
      <c r="C612" s="110"/>
      <c r="D612" s="110"/>
    </row>
    <row r="613" spans="2:4" x14ac:dyDescent="0.3">
      <c r="B613" s="110"/>
      <c r="C613" s="110"/>
      <c r="D613" s="110"/>
    </row>
    <row r="614" spans="2:4" x14ac:dyDescent="0.3">
      <c r="B614" s="110"/>
      <c r="C614" s="110"/>
      <c r="D614" s="110"/>
    </row>
    <row r="615" spans="2:4" x14ac:dyDescent="0.3">
      <c r="B615" s="110"/>
      <c r="C615" s="110"/>
      <c r="D615" s="110"/>
    </row>
    <row r="616" spans="2:4" x14ac:dyDescent="0.3">
      <c r="B616" s="110"/>
      <c r="C616" s="110"/>
      <c r="D616" s="110"/>
    </row>
    <row r="617" spans="2:4" x14ac:dyDescent="0.3">
      <c r="B617" s="110"/>
      <c r="C617" s="110"/>
      <c r="D617" s="110"/>
    </row>
    <row r="618" spans="2:4" x14ac:dyDescent="0.3">
      <c r="B618" s="110"/>
      <c r="C618" s="110"/>
      <c r="D618" s="110"/>
    </row>
    <row r="619" spans="2:4" x14ac:dyDescent="0.3">
      <c r="B619" s="110"/>
      <c r="C619" s="110"/>
      <c r="D619" s="110"/>
    </row>
    <row r="620" spans="2:4" x14ac:dyDescent="0.3">
      <c r="B620" s="110"/>
      <c r="C620" s="110"/>
      <c r="D620" s="110"/>
    </row>
    <row r="621" spans="2:4" x14ac:dyDescent="0.3">
      <c r="B621" s="110"/>
      <c r="C621" s="110"/>
      <c r="D621" s="110"/>
    </row>
    <row r="622" spans="2:4" x14ac:dyDescent="0.3">
      <c r="B622" s="110"/>
      <c r="C622" s="110"/>
      <c r="D622" s="110"/>
    </row>
    <row r="623" spans="2:4" x14ac:dyDescent="0.3">
      <c r="B623" s="110"/>
      <c r="C623" s="110"/>
      <c r="D623" s="110"/>
    </row>
    <row r="624" spans="2:4" x14ac:dyDescent="0.3">
      <c r="B624" s="110"/>
      <c r="C624" s="110"/>
      <c r="D624" s="110"/>
    </row>
    <row r="625" spans="2:4" x14ac:dyDescent="0.3">
      <c r="B625" s="110"/>
      <c r="C625" s="110"/>
      <c r="D625" s="110"/>
    </row>
    <row r="626" spans="2:4" x14ac:dyDescent="0.3">
      <c r="B626" s="110"/>
      <c r="C626" s="110"/>
      <c r="D626" s="110"/>
    </row>
    <row r="627" spans="2:4" x14ac:dyDescent="0.3">
      <c r="B627" s="110"/>
      <c r="C627" s="110"/>
      <c r="D627" s="110"/>
    </row>
    <row r="628" spans="2:4" x14ac:dyDescent="0.3">
      <c r="B628" s="110"/>
      <c r="C628" s="110"/>
      <c r="D628" s="110"/>
    </row>
    <row r="629" spans="2:4" x14ac:dyDescent="0.3">
      <c r="B629" s="110"/>
      <c r="C629" s="110"/>
      <c r="D629" s="110"/>
    </row>
    <row r="630" spans="2:4" x14ac:dyDescent="0.3">
      <c r="B630" s="110"/>
      <c r="C630" s="110"/>
      <c r="D630" s="110"/>
    </row>
    <row r="631" spans="2:4" x14ac:dyDescent="0.3">
      <c r="B631" s="110"/>
      <c r="C631" s="110"/>
      <c r="D631" s="110"/>
    </row>
    <row r="632" spans="2:4" x14ac:dyDescent="0.3">
      <c r="B632" s="110"/>
      <c r="C632" s="110"/>
      <c r="D632" s="110"/>
    </row>
    <row r="633" spans="2:4" x14ac:dyDescent="0.3">
      <c r="B633" s="110"/>
      <c r="C633" s="110"/>
      <c r="D633" s="110"/>
    </row>
    <row r="634" spans="2:4" x14ac:dyDescent="0.3">
      <c r="B634" s="110"/>
      <c r="C634" s="110"/>
      <c r="D634" s="110"/>
    </row>
    <row r="635" spans="2:4" x14ac:dyDescent="0.3">
      <c r="B635" s="110"/>
      <c r="C635" s="110"/>
      <c r="D635" s="110"/>
    </row>
    <row r="636" spans="2:4" x14ac:dyDescent="0.3">
      <c r="B636" s="110"/>
      <c r="C636" s="110"/>
      <c r="D636" s="110"/>
    </row>
    <row r="637" spans="2:4" x14ac:dyDescent="0.3">
      <c r="B637" s="110"/>
      <c r="C637" s="110"/>
      <c r="D637" s="110"/>
    </row>
    <row r="638" spans="2:4" x14ac:dyDescent="0.3">
      <c r="B638" s="110"/>
      <c r="C638" s="110"/>
      <c r="D638" s="110"/>
    </row>
    <row r="639" spans="2:4" x14ac:dyDescent="0.3">
      <c r="B639" s="110"/>
      <c r="C639" s="110"/>
      <c r="D639" s="110"/>
    </row>
    <row r="640" spans="2:4" x14ac:dyDescent="0.3">
      <c r="B640" s="110"/>
      <c r="C640" s="110"/>
      <c r="D640" s="110"/>
    </row>
    <row r="641" spans="2:4" x14ac:dyDescent="0.3">
      <c r="B641" s="110"/>
      <c r="C641" s="110"/>
      <c r="D641" s="110"/>
    </row>
    <row r="642" spans="2:4" x14ac:dyDescent="0.3">
      <c r="B642" s="110"/>
      <c r="C642" s="110"/>
      <c r="D642" s="110"/>
    </row>
    <row r="643" spans="2:4" x14ac:dyDescent="0.3">
      <c r="B643" s="110"/>
      <c r="C643" s="110"/>
      <c r="D643" s="110"/>
    </row>
    <row r="644" spans="2:4" x14ac:dyDescent="0.3">
      <c r="B644" s="110"/>
      <c r="C644" s="110"/>
      <c r="D644" s="110"/>
    </row>
    <row r="645" spans="2:4" x14ac:dyDescent="0.3">
      <c r="B645" s="110"/>
      <c r="C645" s="110"/>
      <c r="D645" s="110"/>
    </row>
    <row r="646" spans="2:4" x14ac:dyDescent="0.3">
      <c r="B646" s="110"/>
      <c r="C646" s="110"/>
      <c r="D646" s="110"/>
    </row>
    <row r="647" spans="2:4" x14ac:dyDescent="0.3">
      <c r="B647" s="110"/>
      <c r="C647" s="110"/>
      <c r="D647" s="110"/>
    </row>
    <row r="648" spans="2:4" x14ac:dyDescent="0.3">
      <c r="B648" s="110"/>
      <c r="C648" s="110"/>
      <c r="D648" s="110"/>
    </row>
    <row r="649" spans="2:4" x14ac:dyDescent="0.3">
      <c r="B649" s="110"/>
      <c r="C649" s="110"/>
      <c r="D649" s="110"/>
    </row>
    <row r="650" spans="2:4" x14ac:dyDescent="0.3">
      <c r="B650" s="110"/>
      <c r="C650" s="110"/>
      <c r="D650" s="110"/>
    </row>
    <row r="651" spans="2:4" x14ac:dyDescent="0.3">
      <c r="B651" s="110"/>
      <c r="C651" s="110"/>
      <c r="D651" s="110"/>
    </row>
    <row r="652" spans="2:4" x14ac:dyDescent="0.3">
      <c r="B652" s="110"/>
      <c r="C652" s="110"/>
      <c r="D652" s="110"/>
    </row>
    <row r="653" spans="2:4" x14ac:dyDescent="0.3">
      <c r="B653" s="110"/>
      <c r="C653" s="110"/>
      <c r="D653" s="110"/>
    </row>
    <row r="654" spans="2:4" x14ac:dyDescent="0.3">
      <c r="B654" s="110"/>
      <c r="C654" s="110"/>
      <c r="D654" s="110"/>
    </row>
    <row r="655" spans="2:4" x14ac:dyDescent="0.3">
      <c r="B655" s="110"/>
      <c r="C655" s="110"/>
      <c r="D655" s="110"/>
    </row>
    <row r="656" spans="2:4" x14ac:dyDescent="0.3">
      <c r="B656" s="110"/>
      <c r="C656" s="110"/>
      <c r="D656" s="110"/>
    </row>
    <row r="657" spans="2:4" x14ac:dyDescent="0.3">
      <c r="B657" s="110"/>
      <c r="C657" s="110"/>
      <c r="D657" s="110"/>
    </row>
    <row r="658" spans="2:4" x14ac:dyDescent="0.3">
      <c r="B658" s="110"/>
      <c r="C658" s="110"/>
      <c r="D658" s="110"/>
    </row>
    <row r="659" spans="2:4" x14ac:dyDescent="0.3">
      <c r="B659" s="110"/>
      <c r="C659" s="110"/>
      <c r="D659" s="110"/>
    </row>
    <row r="660" spans="2:4" x14ac:dyDescent="0.3">
      <c r="B660" s="110"/>
      <c r="C660" s="110"/>
      <c r="D660" s="110"/>
    </row>
    <row r="661" spans="2:4" x14ac:dyDescent="0.3">
      <c r="B661" s="110"/>
      <c r="C661" s="110"/>
      <c r="D661" s="110"/>
    </row>
    <row r="662" spans="2:4" x14ac:dyDescent="0.3">
      <c r="B662" s="110"/>
      <c r="C662" s="110"/>
      <c r="D662" s="110"/>
    </row>
    <row r="663" spans="2:4" x14ac:dyDescent="0.3">
      <c r="B663" s="110"/>
      <c r="C663" s="110"/>
      <c r="D663" s="110"/>
    </row>
    <row r="664" spans="2:4" x14ac:dyDescent="0.3">
      <c r="B664" s="110"/>
      <c r="C664" s="110"/>
      <c r="D664" s="110"/>
    </row>
    <row r="665" spans="2:4" x14ac:dyDescent="0.3">
      <c r="B665" s="110"/>
      <c r="C665" s="110"/>
      <c r="D665" s="110"/>
    </row>
    <row r="666" spans="2:4" x14ac:dyDescent="0.3">
      <c r="B666" s="110"/>
      <c r="C666" s="110"/>
      <c r="D666" s="110"/>
    </row>
    <row r="667" spans="2:4" x14ac:dyDescent="0.3">
      <c r="B667" s="110"/>
      <c r="C667" s="110"/>
      <c r="D667" s="110"/>
    </row>
    <row r="668" spans="2:4" x14ac:dyDescent="0.3">
      <c r="B668" s="110"/>
      <c r="C668" s="110"/>
      <c r="D668" s="110"/>
    </row>
    <row r="669" spans="2:4" x14ac:dyDescent="0.3">
      <c r="B669" s="110"/>
      <c r="C669" s="110"/>
      <c r="D669" s="110"/>
    </row>
    <row r="670" spans="2:4" x14ac:dyDescent="0.3">
      <c r="B670" s="110"/>
      <c r="C670" s="110"/>
      <c r="D670" s="110"/>
    </row>
    <row r="671" spans="2:4" x14ac:dyDescent="0.3">
      <c r="B671" s="110"/>
      <c r="C671" s="110"/>
      <c r="D671" s="110"/>
    </row>
    <row r="672" spans="2:4" x14ac:dyDescent="0.3">
      <c r="B672" s="110"/>
      <c r="C672" s="110"/>
      <c r="D672" s="110"/>
    </row>
    <row r="673" spans="2:4" x14ac:dyDescent="0.3">
      <c r="B673" s="110"/>
      <c r="C673" s="110"/>
      <c r="D673" s="110"/>
    </row>
    <row r="674" spans="2:4" x14ac:dyDescent="0.3">
      <c r="B674" s="110"/>
      <c r="C674" s="110"/>
      <c r="D674" s="110"/>
    </row>
    <row r="675" spans="2:4" x14ac:dyDescent="0.3">
      <c r="B675" s="110"/>
      <c r="C675" s="110"/>
      <c r="D675" s="110"/>
    </row>
    <row r="676" spans="2:4" x14ac:dyDescent="0.3">
      <c r="B676" s="110"/>
      <c r="C676" s="110"/>
      <c r="D676" s="110"/>
    </row>
    <row r="677" spans="2:4" x14ac:dyDescent="0.3">
      <c r="B677" s="110"/>
      <c r="C677" s="110"/>
      <c r="D677" s="110"/>
    </row>
    <row r="678" spans="2:4" x14ac:dyDescent="0.3">
      <c r="B678" s="110"/>
      <c r="C678" s="110"/>
      <c r="D678" s="110"/>
    </row>
    <row r="679" spans="2:4" x14ac:dyDescent="0.3">
      <c r="B679" s="110"/>
      <c r="C679" s="110"/>
      <c r="D679" s="110"/>
    </row>
    <row r="680" spans="2:4" x14ac:dyDescent="0.3">
      <c r="B680" s="110"/>
      <c r="C680" s="110"/>
      <c r="D680" s="110"/>
    </row>
    <row r="681" spans="2:4" x14ac:dyDescent="0.3">
      <c r="B681" s="110"/>
      <c r="C681" s="110"/>
      <c r="D681" s="110"/>
    </row>
    <row r="682" spans="2:4" x14ac:dyDescent="0.3">
      <c r="B682" s="110"/>
      <c r="C682" s="110"/>
      <c r="D682" s="110"/>
    </row>
    <row r="683" spans="2:4" x14ac:dyDescent="0.3">
      <c r="B683" s="110"/>
      <c r="C683" s="110"/>
      <c r="D683" s="110"/>
    </row>
    <row r="684" spans="2:4" x14ac:dyDescent="0.3">
      <c r="B684" s="110"/>
      <c r="C684" s="110"/>
      <c r="D684" s="110"/>
    </row>
    <row r="685" spans="2:4" x14ac:dyDescent="0.3">
      <c r="B685" s="110"/>
      <c r="C685" s="110"/>
      <c r="D685" s="110"/>
    </row>
    <row r="686" spans="2:4" x14ac:dyDescent="0.3">
      <c r="B686" s="110"/>
      <c r="C686" s="110"/>
      <c r="D686" s="110"/>
    </row>
    <row r="687" spans="2:4" x14ac:dyDescent="0.3">
      <c r="B687" s="110"/>
      <c r="C687" s="110"/>
      <c r="D687" s="110"/>
    </row>
    <row r="688" spans="2:4" x14ac:dyDescent="0.3">
      <c r="B688" s="110"/>
      <c r="C688" s="110"/>
      <c r="D688" s="110"/>
    </row>
    <row r="689" spans="2:4" x14ac:dyDescent="0.3">
      <c r="B689" s="110"/>
      <c r="C689" s="110"/>
      <c r="D689" s="110"/>
    </row>
    <row r="690" spans="2:4" x14ac:dyDescent="0.3">
      <c r="B690" s="110"/>
      <c r="C690" s="110"/>
      <c r="D690" s="110"/>
    </row>
    <row r="691" spans="2:4" x14ac:dyDescent="0.3">
      <c r="B691" s="110"/>
      <c r="C691" s="110"/>
      <c r="D691" s="110"/>
    </row>
    <row r="692" spans="2:4" x14ac:dyDescent="0.3">
      <c r="B692" s="110"/>
      <c r="C692" s="110"/>
      <c r="D692" s="110"/>
    </row>
    <row r="693" spans="2:4" x14ac:dyDescent="0.3">
      <c r="B693" s="110"/>
      <c r="C693" s="110"/>
      <c r="D693" s="110"/>
    </row>
    <row r="694" spans="2:4" x14ac:dyDescent="0.3">
      <c r="B694" s="110"/>
      <c r="C694" s="110"/>
      <c r="D694" s="110"/>
    </row>
    <row r="695" spans="2:4" x14ac:dyDescent="0.3">
      <c r="B695" s="110"/>
      <c r="C695" s="110"/>
      <c r="D695" s="110"/>
    </row>
    <row r="696" spans="2:4" x14ac:dyDescent="0.3">
      <c r="B696" s="110"/>
      <c r="C696" s="110"/>
      <c r="D696" s="110"/>
    </row>
    <row r="697" spans="2:4" x14ac:dyDescent="0.3">
      <c r="B697" s="110"/>
      <c r="C697" s="110"/>
      <c r="D697" s="110"/>
    </row>
    <row r="698" spans="2:4" x14ac:dyDescent="0.3">
      <c r="B698" s="110"/>
      <c r="C698" s="110"/>
      <c r="D698" s="110"/>
    </row>
    <row r="699" spans="2:4" x14ac:dyDescent="0.3">
      <c r="B699" s="110"/>
      <c r="C699" s="110"/>
      <c r="D699" s="110"/>
    </row>
    <row r="700" spans="2:4" x14ac:dyDescent="0.3">
      <c r="B700" s="110"/>
      <c r="C700" s="110"/>
      <c r="D700" s="110"/>
    </row>
    <row r="701" spans="2:4" x14ac:dyDescent="0.3">
      <c r="B701" s="110"/>
      <c r="C701" s="110"/>
      <c r="D701" s="110"/>
    </row>
    <row r="702" spans="2:4" x14ac:dyDescent="0.3">
      <c r="B702" s="110"/>
      <c r="C702" s="110"/>
      <c r="D702" s="110"/>
    </row>
    <row r="703" spans="2:4" x14ac:dyDescent="0.3">
      <c r="B703" s="110"/>
      <c r="C703" s="110"/>
      <c r="D703" s="110"/>
    </row>
    <row r="704" spans="2:4" x14ac:dyDescent="0.3">
      <c r="B704" s="110"/>
      <c r="C704" s="110"/>
      <c r="D704" s="110"/>
    </row>
    <row r="705" spans="2:4" x14ac:dyDescent="0.3">
      <c r="B705" s="110"/>
      <c r="C705" s="110"/>
      <c r="D705" s="110"/>
    </row>
    <row r="706" spans="2:4" x14ac:dyDescent="0.3">
      <c r="B706" s="110"/>
      <c r="C706" s="110"/>
      <c r="D706" s="110"/>
    </row>
    <row r="707" spans="2:4" x14ac:dyDescent="0.3">
      <c r="B707" s="110"/>
      <c r="C707" s="110"/>
      <c r="D707" s="110"/>
    </row>
    <row r="708" spans="2:4" x14ac:dyDescent="0.3">
      <c r="B708" s="110"/>
      <c r="C708" s="110"/>
      <c r="D708" s="110"/>
    </row>
    <row r="709" spans="2:4" x14ac:dyDescent="0.3">
      <c r="B709" s="110"/>
      <c r="C709" s="110"/>
      <c r="D709" s="110"/>
    </row>
    <row r="710" spans="2:4" x14ac:dyDescent="0.3">
      <c r="B710" s="110"/>
      <c r="C710" s="110"/>
      <c r="D710" s="110"/>
    </row>
    <row r="711" spans="2:4" x14ac:dyDescent="0.3">
      <c r="B711" s="110"/>
      <c r="C711" s="110"/>
      <c r="D711" s="110"/>
    </row>
    <row r="712" spans="2:4" x14ac:dyDescent="0.3">
      <c r="B712" s="110"/>
      <c r="C712" s="110"/>
      <c r="D712" s="110"/>
    </row>
    <row r="713" spans="2:4" x14ac:dyDescent="0.3">
      <c r="B713" s="110"/>
      <c r="C713" s="110"/>
      <c r="D713" s="110"/>
    </row>
    <row r="714" spans="2:4" x14ac:dyDescent="0.3">
      <c r="B714" s="110"/>
      <c r="C714" s="110"/>
      <c r="D714" s="110"/>
    </row>
    <row r="715" spans="2:4" x14ac:dyDescent="0.3">
      <c r="B715" s="110"/>
      <c r="C715" s="110"/>
      <c r="D715" s="110"/>
    </row>
    <row r="716" spans="2:4" x14ac:dyDescent="0.3">
      <c r="B716" s="110"/>
      <c r="C716" s="110"/>
      <c r="D716" s="110"/>
    </row>
    <row r="717" spans="2:4" x14ac:dyDescent="0.3">
      <c r="B717" s="110"/>
      <c r="C717" s="110"/>
      <c r="D717" s="110"/>
    </row>
    <row r="718" spans="2:4" x14ac:dyDescent="0.3">
      <c r="B718" s="110"/>
      <c r="C718" s="110"/>
      <c r="D718" s="110"/>
    </row>
    <row r="719" spans="2:4" x14ac:dyDescent="0.3">
      <c r="B719" s="110"/>
      <c r="C719" s="110"/>
      <c r="D719" s="110"/>
    </row>
    <row r="720" spans="2:4" x14ac:dyDescent="0.3">
      <c r="B720" s="110"/>
      <c r="C720" s="110"/>
      <c r="D720" s="110"/>
    </row>
    <row r="721" spans="2:4" x14ac:dyDescent="0.3">
      <c r="B721" s="110"/>
      <c r="C721" s="110"/>
      <c r="D721" s="110"/>
    </row>
    <row r="722" spans="2:4" x14ac:dyDescent="0.3">
      <c r="B722" s="110"/>
      <c r="C722" s="110"/>
      <c r="D722" s="110"/>
    </row>
    <row r="723" spans="2:4" x14ac:dyDescent="0.3">
      <c r="B723" s="110"/>
      <c r="C723" s="110"/>
      <c r="D723" s="110"/>
    </row>
    <row r="724" spans="2:4" x14ac:dyDescent="0.3">
      <c r="B724" s="110"/>
      <c r="C724" s="110"/>
      <c r="D724" s="110"/>
    </row>
    <row r="725" spans="2:4" x14ac:dyDescent="0.3">
      <c r="B725" s="110"/>
      <c r="C725" s="110"/>
      <c r="D725" s="110"/>
    </row>
    <row r="726" spans="2:4" x14ac:dyDescent="0.3">
      <c r="B726" s="110"/>
      <c r="C726" s="110"/>
      <c r="D726" s="110"/>
    </row>
    <row r="727" spans="2:4" x14ac:dyDescent="0.3">
      <c r="B727" s="110"/>
      <c r="C727" s="110"/>
      <c r="D727" s="110"/>
    </row>
    <row r="728" spans="2:4" x14ac:dyDescent="0.3">
      <c r="B728" s="110"/>
      <c r="C728" s="110"/>
      <c r="D728" s="110"/>
    </row>
    <row r="729" spans="2:4" x14ac:dyDescent="0.3">
      <c r="B729" s="110"/>
      <c r="C729" s="110"/>
      <c r="D729" s="110"/>
    </row>
    <row r="730" spans="2:4" x14ac:dyDescent="0.3">
      <c r="B730" s="110"/>
      <c r="C730" s="110"/>
      <c r="D730" s="110"/>
    </row>
    <row r="731" spans="2:4" x14ac:dyDescent="0.3">
      <c r="B731" s="110"/>
      <c r="C731" s="110"/>
      <c r="D731" s="110"/>
    </row>
    <row r="732" spans="2:4" x14ac:dyDescent="0.3">
      <c r="B732" s="110"/>
      <c r="C732" s="110"/>
      <c r="D732" s="110"/>
    </row>
    <row r="733" spans="2:4" x14ac:dyDescent="0.3">
      <c r="B733" s="110"/>
      <c r="C733" s="110"/>
      <c r="D733" s="110"/>
    </row>
    <row r="734" spans="2:4" x14ac:dyDescent="0.3">
      <c r="B734" s="110"/>
      <c r="C734" s="110"/>
      <c r="D734" s="110"/>
    </row>
    <row r="735" spans="2:4" x14ac:dyDescent="0.3">
      <c r="B735" s="110"/>
      <c r="C735" s="110"/>
      <c r="D735" s="110"/>
    </row>
    <row r="736" spans="2:4" x14ac:dyDescent="0.3">
      <c r="B736" s="110"/>
      <c r="C736" s="110"/>
      <c r="D736" s="110"/>
    </row>
    <row r="737" spans="2:4" x14ac:dyDescent="0.3">
      <c r="B737" s="110"/>
      <c r="C737" s="110"/>
      <c r="D737" s="110"/>
    </row>
    <row r="738" spans="2:4" x14ac:dyDescent="0.3">
      <c r="B738" s="110"/>
      <c r="C738" s="110"/>
      <c r="D738" s="110"/>
    </row>
    <row r="739" spans="2:4" x14ac:dyDescent="0.3">
      <c r="B739" s="110"/>
      <c r="C739" s="110"/>
      <c r="D739" s="110"/>
    </row>
    <row r="740" spans="2:4" x14ac:dyDescent="0.3">
      <c r="B740" s="110"/>
      <c r="C740" s="110"/>
      <c r="D740" s="110"/>
    </row>
    <row r="741" spans="2:4" x14ac:dyDescent="0.3">
      <c r="B741" s="110"/>
      <c r="C741" s="110"/>
      <c r="D741" s="110"/>
    </row>
    <row r="742" spans="2:4" x14ac:dyDescent="0.3">
      <c r="B742" s="110"/>
      <c r="C742" s="110"/>
      <c r="D742" s="110"/>
    </row>
    <row r="743" spans="2:4" x14ac:dyDescent="0.3">
      <c r="B743" s="110"/>
      <c r="C743" s="110"/>
      <c r="D743" s="110"/>
    </row>
    <row r="744" spans="2:4" x14ac:dyDescent="0.3">
      <c r="B744" s="110"/>
      <c r="C744" s="110"/>
      <c r="D744" s="110"/>
    </row>
    <row r="745" spans="2:4" x14ac:dyDescent="0.3">
      <c r="B745" s="110"/>
      <c r="C745" s="110"/>
      <c r="D745" s="110"/>
    </row>
    <row r="746" spans="2:4" x14ac:dyDescent="0.3">
      <c r="B746" s="110"/>
      <c r="C746" s="110"/>
      <c r="D746" s="110"/>
    </row>
    <row r="747" spans="2:4" x14ac:dyDescent="0.3">
      <c r="B747" s="110"/>
      <c r="C747" s="110"/>
      <c r="D747" s="110"/>
    </row>
    <row r="748" spans="2:4" x14ac:dyDescent="0.3">
      <c r="B748" s="110"/>
      <c r="C748" s="110"/>
      <c r="D748" s="110"/>
    </row>
    <row r="749" spans="2:4" x14ac:dyDescent="0.3">
      <c r="B749" s="110"/>
      <c r="C749" s="110"/>
      <c r="D749" s="110"/>
    </row>
    <row r="750" spans="2:4" x14ac:dyDescent="0.3">
      <c r="B750" s="110"/>
      <c r="C750" s="110"/>
      <c r="D750" s="110"/>
    </row>
    <row r="751" spans="2:4" x14ac:dyDescent="0.3">
      <c r="B751" s="110"/>
      <c r="C751" s="110"/>
      <c r="D751" s="110"/>
    </row>
    <row r="752" spans="2:4" x14ac:dyDescent="0.3">
      <c r="B752" s="110"/>
      <c r="C752" s="110"/>
      <c r="D752" s="110"/>
    </row>
    <row r="753" spans="2:4" x14ac:dyDescent="0.3">
      <c r="B753" s="110"/>
      <c r="C753" s="110"/>
      <c r="D753" s="110"/>
    </row>
    <row r="754" spans="2:4" x14ac:dyDescent="0.3">
      <c r="B754" s="110"/>
      <c r="C754" s="110"/>
      <c r="D754" s="110"/>
    </row>
    <row r="755" spans="2:4" x14ac:dyDescent="0.3">
      <c r="B755" s="110"/>
      <c r="C755" s="110"/>
      <c r="D755" s="110"/>
    </row>
    <row r="756" spans="2:4" x14ac:dyDescent="0.3">
      <c r="B756" s="110"/>
      <c r="C756" s="110"/>
      <c r="D756" s="110"/>
    </row>
    <row r="757" spans="2:4" x14ac:dyDescent="0.3">
      <c r="B757" s="110"/>
      <c r="C757" s="110"/>
      <c r="D757" s="110"/>
    </row>
    <row r="758" spans="2:4" x14ac:dyDescent="0.3">
      <c r="B758" s="110"/>
      <c r="C758" s="110"/>
      <c r="D758" s="110"/>
    </row>
    <row r="759" spans="2:4" x14ac:dyDescent="0.3">
      <c r="B759" s="110"/>
      <c r="C759" s="110"/>
      <c r="D759" s="110"/>
    </row>
    <row r="760" spans="2:4" x14ac:dyDescent="0.3">
      <c r="B760" s="110"/>
      <c r="C760" s="110"/>
      <c r="D760" s="110"/>
    </row>
    <row r="761" spans="2:4" x14ac:dyDescent="0.3">
      <c r="B761" s="110"/>
      <c r="C761" s="110"/>
      <c r="D761" s="110"/>
    </row>
    <row r="762" spans="2:4" x14ac:dyDescent="0.3">
      <c r="B762" s="110"/>
      <c r="C762" s="110"/>
      <c r="D762" s="110"/>
    </row>
    <row r="763" spans="2:4" x14ac:dyDescent="0.3">
      <c r="B763" s="110"/>
      <c r="C763" s="110"/>
      <c r="D763" s="110"/>
    </row>
    <row r="764" spans="2:4" x14ac:dyDescent="0.3">
      <c r="B764" s="110"/>
      <c r="C764" s="110"/>
      <c r="D764" s="110"/>
    </row>
    <row r="765" spans="2:4" x14ac:dyDescent="0.3">
      <c r="B765" s="110"/>
      <c r="C765" s="110"/>
      <c r="D765" s="110"/>
    </row>
    <row r="766" spans="2:4" x14ac:dyDescent="0.3">
      <c r="B766" s="110"/>
      <c r="C766" s="110"/>
      <c r="D766" s="110"/>
    </row>
    <row r="767" spans="2:4" x14ac:dyDescent="0.3">
      <c r="B767" s="110"/>
      <c r="C767" s="110"/>
      <c r="D767" s="110"/>
    </row>
    <row r="768" spans="2:4" x14ac:dyDescent="0.3">
      <c r="B768" s="110"/>
      <c r="C768" s="110"/>
      <c r="D768" s="110"/>
    </row>
    <row r="769" spans="2:4" x14ac:dyDescent="0.3">
      <c r="B769" s="110"/>
      <c r="C769" s="110"/>
      <c r="D769" s="110"/>
    </row>
    <row r="770" spans="2:4" x14ac:dyDescent="0.3">
      <c r="B770" s="110"/>
      <c r="C770" s="110"/>
      <c r="D770" s="110"/>
    </row>
    <row r="771" spans="2:4" x14ac:dyDescent="0.3">
      <c r="B771" s="110"/>
      <c r="C771" s="110"/>
      <c r="D771" s="110"/>
    </row>
    <row r="772" spans="2:4" x14ac:dyDescent="0.3">
      <c r="B772" s="110"/>
      <c r="C772" s="110"/>
      <c r="D772" s="110"/>
    </row>
    <row r="773" spans="2:4" x14ac:dyDescent="0.3">
      <c r="B773" s="110"/>
      <c r="C773" s="110"/>
      <c r="D773" s="110"/>
    </row>
    <row r="774" spans="2:4" x14ac:dyDescent="0.3">
      <c r="B774" s="110"/>
      <c r="C774" s="110"/>
      <c r="D774" s="110"/>
    </row>
    <row r="775" spans="2:4" x14ac:dyDescent="0.3">
      <c r="B775" s="110"/>
      <c r="C775" s="110"/>
      <c r="D775" s="110"/>
    </row>
    <row r="776" spans="2:4" x14ac:dyDescent="0.3">
      <c r="B776" s="110"/>
      <c r="C776" s="110"/>
      <c r="D776" s="110"/>
    </row>
    <row r="777" spans="2:4" x14ac:dyDescent="0.3">
      <c r="B777" s="110"/>
      <c r="C777" s="110"/>
      <c r="D777" s="110"/>
    </row>
    <row r="778" spans="2:4" x14ac:dyDescent="0.3">
      <c r="B778" s="110"/>
      <c r="C778" s="110"/>
      <c r="D778" s="110"/>
    </row>
    <row r="779" spans="2:4" x14ac:dyDescent="0.3">
      <c r="B779" s="110"/>
      <c r="C779" s="110"/>
      <c r="D779" s="110"/>
    </row>
    <row r="780" spans="2:4" x14ac:dyDescent="0.3">
      <c r="B780" s="110"/>
      <c r="C780" s="110"/>
      <c r="D780" s="110"/>
    </row>
    <row r="781" spans="2:4" x14ac:dyDescent="0.3">
      <c r="B781" s="110"/>
      <c r="C781" s="110"/>
      <c r="D781" s="110"/>
    </row>
    <row r="782" spans="2:4" x14ac:dyDescent="0.3">
      <c r="B782" s="110"/>
      <c r="C782" s="110"/>
      <c r="D782" s="110"/>
    </row>
    <row r="783" spans="2:4" x14ac:dyDescent="0.3">
      <c r="B783" s="110"/>
      <c r="C783" s="110"/>
      <c r="D783" s="110"/>
    </row>
    <row r="784" spans="2:4" x14ac:dyDescent="0.3">
      <c r="B784" s="110"/>
      <c r="C784" s="110"/>
      <c r="D784" s="110"/>
    </row>
    <row r="785" spans="2:4" x14ac:dyDescent="0.3">
      <c r="B785" s="110"/>
      <c r="C785" s="110"/>
      <c r="D785" s="110"/>
    </row>
    <row r="786" spans="2:4" x14ac:dyDescent="0.3">
      <c r="B786" s="110"/>
      <c r="C786" s="110"/>
      <c r="D786" s="110"/>
    </row>
    <row r="787" spans="2:4" x14ac:dyDescent="0.3">
      <c r="B787" s="110"/>
      <c r="C787" s="110"/>
      <c r="D787" s="110"/>
    </row>
    <row r="788" spans="2:4" x14ac:dyDescent="0.3">
      <c r="B788" s="110"/>
      <c r="C788" s="110"/>
      <c r="D788" s="110"/>
    </row>
    <row r="789" spans="2:4" x14ac:dyDescent="0.3">
      <c r="B789" s="110"/>
      <c r="C789" s="110"/>
      <c r="D789" s="110"/>
    </row>
    <row r="790" spans="2:4" x14ac:dyDescent="0.3">
      <c r="B790" s="110"/>
      <c r="C790" s="110"/>
      <c r="D790" s="110"/>
    </row>
    <row r="791" spans="2:4" x14ac:dyDescent="0.3">
      <c r="B791" s="110"/>
      <c r="C791" s="110"/>
      <c r="D791" s="110"/>
    </row>
    <row r="792" spans="2:4" x14ac:dyDescent="0.3">
      <c r="B792" s="110"/>
      <c r="C792" s="110"/>
      <c r="D792" s="110"/>
    </row>
    <row r="793" spans="2:4" x14ac:dyDescent="0.3">
      <c r="B793" s="110"/>
      <c r="C793" s="110"/>
      <c r="D793" s="110"/>
    </row>
    <row r="794" spans="2:4" x14ac:dyDescent="0.3">
      <c r="B794" s="110"/>
      <c r="C794" s="110"/>
      <c r="D794" s="110"/>
    </row>
    <row r="795" spans="2:4" x14ac:dyDescent="0.3">
      <c r="B795" s="110"/>
      <c r="C795" s="110"/>
      <c r="D795" s="110"/>
    </row>
    <row r="796" spans="2:4" x14ac:dyDescent="0.3">
      <c r="B796" s="110"/>
      <c r="C796" s="110"/>
      <c r="D796" s="110"/>
    </row>
    <row r="797" spans="2:4" x14ac:dyDescent="0.3">
      <c r="B797" s="110"/>
      <c r="C797" s="110"/>
      <c r="D797" s="110"/>
    </row>
    <row r="798" spans="2:4" x14ac:dyDescent="0.3">
      <c r="B798" s="110"/>
      <c r="C798" s="110"/>
      <c r="D798" s="110"/>
    </row>
    <row r="799" spans="2:4" x14ac:dyDescent="0.3">
      <c r="B799" s="110"/>
      <c r="C799" s="110"/>
      <c r="D799" s="110"/>
    </row>
    <row r="800" spans="2:4" x14ac:dyDescent="0.3">
      <c r="B800" s="110"/>
      <c r="C800" s="110"/>
      <c r="D800" s="110"/>
    </row>
    <row r="801" spans="2:4" x14ac:dyDescent="0.3">
      <c r="B801" s="110"/>
      <c r="C801" s="110"/>
      <c r="D801" s="110"/>
    </row>
    <row r="802" spans="2:4" x14ac:dyDescent="0.3">
      <c r="B802" s="110"/>
      <c r="C802" s="110"/>
      <c r="D802" s="110"/>
    </row>
    <row r="803" spans="2:4" x14ac:dyDescent="0.3">
      <c r="B803" s="110"/>
      <c r="C803" s="110"/>
      <c r="D803" s="110"/>
    </row>
    <row r="804" spans="2:4" x14ac:dyDescent="0.3">
      <c r="B804" s="110"/>
      <c r="C804" s="110"/>
      <c r="D804" s="110"/>
    </row>
    <row r="805" spans="2:4" x14ac:dyDescent="0.3">
      <c r="B805" s="110"/>
      <c r="C805" s="110"/>
      <c r="D805" s="110"/>
    </row>
    <row r="806" spans="2:4" x14ac:dyDescent="0.3">
      <c r="B806" s="110"/>
      <c r="C806" s="110"/>
      <c r="D806" s="110"/>
    </row>
    <row r="807" spans="2:4" x14ac:dyDescent="0.3">
      <c r="B807" s="110"/>
      <c r="C807" s="110"/>
      <c r="D807" s="110"/>
    </row>
    <row r="808" spans="2:4" x14ac:dyDescent="0.3">
      <c r="B808" s="110"/>
      <c r="C808" s="110"/>
      <c r="D808" s="110"/>
    </row>
    <row r="809" spans="2:4" x14ac:dyDescent="0.3">
      <c r="B809" s="110"/>
      <c r="C809" s="110"/>
      <c r="D809" s="110"/>
    </row>
    <row r="810" spans="2:4" x14ac:dyDescent="0.3">
      <c r="B810" s="110"/>
      <c r="C810" s="110"/>
      <c r="D810" s="110"/>
    </row>
    <row r="811" spans="2:4" x14ac:dyDescent="0.3">
      <c r="B811" s="110"/>
      <c r="C811" s="110"/>
      <c r="D811" s="110"/>
    </row>
    <row r="812" spans="2:4" x14ac:dyDescent="0.3">
      <c r="B812" s="110"/>
      <c r="C812" s="110"/>
      <c r="D812" s="110"/>
    </row>
    <row r="813" spans="2:4" x14ac:dyDescent="0.3">
      <c r="B813" s="110"/>
      <c r="C813" s="110"/>
      <c r="D813" s="110"/>
    </row>
    <row r="814" spans="2:4" x14ac:dyDescent="0.3">
      <c r="B814" s="110"/>
      <c r="C814" s="110"/>
      <c r="D814" s="110"/>
    </row>
    <row r="815" spans="2:4" x14ac:dyDescent="0.3">
      <c r="B815" s="110"/>
      <c r="C815" s="110"/>
      <c r="D815" s="110"/>
    </row>
    <row r="816" spans="2:4" x14ac:dyDescent="0.3">
      <c r="B816" s="110"/>
      <c r="C816" s="110"/>
      <c r="D816" s="110"/>
    </row>
    <row r="817" spans="2:4" x14ac:dyDescent="0.3">
      <c r="B817" s="110"/>
      <c r="C817" s="110"/>
      <c r="D817" s="110"/>
    </row>
    <row r="818" spans="2:4" x14ac:dyDescent="0.3">
      <c r="B818" s="110"/>
      <c r="C818" s="110"/>
      <c r="D818" s="110"/>
    </row>
    <row r="819" spans="2:4" x14ac:dyDescent="0.3">
      <c r="B819" s="110"/>
      <c r="C819" s="110"/>
      <c r="D819" s="110"/>
    </row>
    <row r="820" spans="2:4" x14ac:dyDescent="0.3">
      <c r="B820" s="110"/>
      <c r="C820" s="110"/>
      <c r="D820" s="110"/>
    </row>
    <row r="821" spans="2:4" x14ac:dyDescent="0.3">
      <c r="B821" s="110"/>
      <c r="C821" s="110"/>
      <c r="D821" s="110"/>
    </row>
    <row r="822" spans="2:4" x14ac:dyDescent="0.3">
      <c r="B822" s="110"/>
      <c r="C822" s="110"/>
      <c r="D822" s="110"/>
    </row>
    <row r="823" spans="2:4" x14ac:dyDescent="0.3">
      <c r="B823" s="110"/>
      <c r="C823" s="110"/>
      <c r="D823" s="110"/>
    </row>
    <row r="824" spans="2:4" x14ac:dyDescent="0.3">
      <c r="B824" s="110"/>
      <c r="C824" s="110"/>
      <c r="D824" s="110"/>
    </row>
    <row r="825" spans="2:4" x14ac:dyDescent="0.3">
      <c r="B825" s="110"/>
      <c r="C825" s="110"/>
      <c r="D825" s="110"/>
    </row>
    <row r="826" spans="2:4" x14ac:dyDescent="0.3">
      <c r="B826" s="110"/>
      <c r="C826" s="110"/>
      <c r="D826" s="110"/>
    </row>
    <row r="827" spans="2:4" x14ac:dyDescent="0.3">
      <c r="B827" s="110"/>
      <c r="C827" s="110"/>
      <c r="D827" s="110"/>
    </row>
    <row r="828" spans="2:4" x14ac:dyDescent="0.3">
      <c r="B828" s="110"/>
      <c r="C828" s="110"/>
      <c r="D828" s="110"/>
    </row>
    <row r="829" spans="2:4" x14ac:dyDescent="0.3">
      <c r="B829" s="110"/>
      <c r="C829" s="110"/>
      <c r="D829" s="110"/>
    </row>
    <row r="830" spans="2:4" x14ac:dyDescent="0.3">
      <c r="B830" s="110"/>
      <c r="C830" s="110"/>
      <c r="D830" s="110"/>
    </row>
    <row r="831" spans="2:4" x14ac:dyDescent="0.3">
      <c r="B831" s="110"/>
      <c r="C831" s="110"/>
      <c r="D831" s="110"/>
    </row>
    <row r="832" spans="2:4" x14ac:dyDescent="0.3">
      <c r="B832" s="110"/>
      <c r="C832" s="110"/>
      <c r="D832" s="110"/>
    </row>
    <row r="833" spans="2:4" x14ac:dyDescent="0.3">
      <c r="B833" s="110"/>
      <c r="C833" s="110"/>
      <c r="D833" s="110"/>
    </row>
    <row r="834" spans="2:4" x14ac:dyDescent="0.3">
      <c r="B834" s="110"/>
      <c r="C834" s="110"/>
      <c r="D834" s="110"/>
    </row>
    <row r="835" spans="2:4" x14ac:dyDescent="0.3">
      <c r="B835" s="110"/>
      <c r="C835" s="110"/>
      <c r="D835" s="110"/>
    </row>
    <row r="836" spans="2:4" x14ac:dyDescent="0.3">
      <c r="B836" s="110"/>
      <c r="C836" s="110"/>
      <c r="D836" s="110"/>
    </row>
    <row r="837" spans="2:4" x14ac:dyDescent="0.3">
      <c r="B837" s="110"/>
      <c r="C837" s="110"/>
      <c r="D837" s="110"/>
    </row>
    <row r="838" spans="2:4" x14ac:dyDescent="0.3">
      <c r="B838" s="110"/>
      <c r="C838" s="110"/>
      <c r="D838" s="110"/>
    </row>
    <row r="839" spans="2:4" x14ac:dyDescent="0.3">
      <c r="B839" s="110"/>
      <c r="C839" s="110"/>
      <c r="D839" s="110"/>
    </row>
    <row r="840" spans="2:4" x14ac:dyDescent="0.3">
      <c r="B840" s="110"/>
      <c r="C840" s="110"/>
      <c r="D840" s="110"/>
    </row>
    <row r="841" spans="2:4" x14ac:dyDescent="0.3">
      <c r="B841" s="110"/>
      <c r="C841" s="110"/>
      <c r="D841" s="110"/>
    </row>
    <row r="842" spans="2:4" x14ac:dyDescent="0.3">
      <c r="B842" s="110"/>
      <c r="C842" s="110"/>
      <c r="D842" s="110"/>
    </row>
    <row r="843" spans="2:4" x14ac:dyDescent="0.3">
      <c r="B843" s="110"/>
      <c r="C843" s="110"/>
      <c r="D843" s="110"/>
    </row>
    <row r="844" spans="2:4" x14ac:dyDescent="0.3">
      <c r="B844" s="110"/>
      <c r="C844" s="110"/>
      <c r="D844" s="110"/>
    </row>
    <row r="845" spans="2:4" x14ac:dyDescent="0.3">
      <c r="B845" s="110"/>
      <c r="C845" s="110"/>
      <c r="D845" s="110"/>
    </row>
    <row r="846" spans="2:4" x14ac:dyDescent="0.3">
      <c r="B846" s="110"/>
      <c r="C846" s="110"/>
      <c r="D846" s="110"/>
    </row>
    <row r="847" spans="2:4" x14ac:dyDescent="0.3">
      <c r="B847" s="110"/>
      <c r="C847" s="110"/>
      <c r="D847" s="110"/>
    </row>
    <row r="848" spans="2:4" x14ac:dyDescent="0.3">
      <c r="B848" s="110"/>
      <c r="C848" s="110"/>
      <c r="D848" s="110"/>
    </row>
    <row r="849" spans="2:4" x14ac:dyDescent="0.3">
      <c r="B849" s="110"/>
      <c r="C849" s="110"/>
      <c r="D849" s="110"/>
    </row>
    <row r="850" spans="2:4" x14ac:dyDescent="0.3">
      <c r="B850" s="110"/>
      <c r="C850" s="110"/>
      <c r="D850" s="110"/>
    </row>
    <row r="851" spans="2:4" x14ac:dyDescent="0.3">
      <c r="B851" s="110"/>
      <c r="C851" s="110"/>
      <c r="D851" s="110"/>
    </row>
    <row r="852" spans="2:4" x14ac:dyDescent="0.3">
      <c r="B852" s="110"/>
      <c r="C852" s="110"/>
      <c r="D852" s="110"/>
    </row>
    <row r="853" spans="2:4" x14ac:dyDescent="0.3">
      <c r="B853" s="110"/>
      <c r="C853" s="110"/>
      <c r="D853" s="110"/>
    </row>
    <row r="854" spans="2:4" x14ac:dyDescent="0.3">
      <c r="B854" s="110"/>
      <c r="C854" s="110"/>
      <c r="D854" s="110"/>
    </row>
    <row r="855" spans="2:4" x14ac:dyDescent="0.3">
      <c r="B855" s="110"/>
      <c r="C855" s="110"/>
      <c r="D855" s="110"/>
    </row>
    <row r="856" spans="2:4" x14ac:dyDescent="0.3">
      <c r="B856" s="110"/>
      <c r="C856" s="110"/>
      <c r="D856" s="110"/>
    </row>
    <row r="857" spans="2:4" x14ac:dyDescent="0.3">
      <c r="B857" s="110"/>
      <c r="C857" s="110"/>
      <c r="D857" s="110"/>
    </row>
    <row r="858" spans="2:4" x14ac:dyDescent="0.3">
      <c r="B858" s="110"/>
      <c r="C858" s="110"/>
      <c r="D858" s="110"/>
    </row>
    <row r="859" spans="2:4" x14ac:dyDescent="0.3">
      <c r="B859" s="110"/>
      <c r="C859" s="110"/>
      <c r="D859" s="110"/>
    </row>
    <row r="860" spans="2:4" x14ac:dyDescent="0.3">
      <c r="B860" s="110"/>
      <c r="C860" s="110"/>
      <c r="D860" s="110"/>
    </row>
    <row r="861" spans="2:4" x14ac:dyDescent="0.3">
      <c r="B861" s="110"/>
      <c r="C861" s="110"/>
      <c r="D861" s="110"/>
    </row>
    <row r="862" spans="2:4" x14ac:dyDescent="0.3">
      <c r="B862" s="110"/>
      <c r="C862" s="110"/>
      <c r="D862" s="110"/>
    </row>
    <row r="863" spans="2:4" x14ac:dyDescent="0.3">
      <c r="B863" s="110"/>
      <c r="C863" s="110"/>
      <c r="D863" s="110"/>
    </row>
    <row r="864" spans="2:4" x14ac:dyDescent="0.3">
      <c r="B864" s="110"/>
      <c r="C864" s="110"/>
      <c r="D864" s="110"/>
    </row>
    <row r="865" spans="2:4" x14ac:dyDescent="0.3">
      <c r="B865" s="110"/>
      <c r="C865" s="110"/>
      <c r="D865" s="110"/>
    </row>
    <row r="866" spans="2:4" x14ac:dyDescent="0.3">
      <c r="B866" s="110"/>
      <c r="C866" s="110"/>
      <c r="D866" s="110"/>
    </row>
    <row r="867" spans="2:4" x14ac:dyDescent="0.3">
      <c r="B867" s="110"/>
      <c r="C867" s="110"/>
      <c r="D867" s="110"/>
    </row>
    <row r="868" spans="2:4" x14ac:dyDescent="0.3">
      <c r="B868" s="110"/>
      <c r="C868" s="110"/>
      <c r="D868" s="110"/>
    </row>
    <row r="869" spans="2:4" x14ac:dyDescent="0.3">
      <c r="B869" s="110"/>
      <c r="C869" s="110"/>
      <c r="D869" s="110"/>
    </row>
    <row r="870" spans="2:4" x14ac:dyDescent="0.3">
      <c r="B870" s="110"/>
      <c r="C870" s="110"/>
      <c r="D870" s="110"/>
    </row>
    <row r="871" spans="2:4" x14ac:dyDescent="0.3">
      <c r="B871" s="110"/>
      <c r="C871" s="110"/>
      <c r="D871" s="110"/>
    </row>
    <row r="872" spans="2:4" x14ac:dyDescent="0.3">
      <c r="B872" s="110"/>
      <c r="C872" s="110"/>
      <c r="D872" s="110"/>
    </row>
    <row r="873" spans="2:4" x14ac:dyDescent="0.3">
      <c r="B873" s="110"/>
      <c r="C873" s="110"/>
      <c r="D873" s="110"/>
    </row>
    <row r="874" spans="2:4" x14ac:dyDescent="0.3">
      <c r="B874" s="110"/>
      <c r="C874" s="110"/>
      <c r="D874" s="110"/>
    </row>
    <row r="875" spans="2:4" x14ac:dyDescent="0.3">
      <c r="B875" s="110"/>
      <c r="C875" s="110"/>
      <c r="D875" s="110"/>
    </row>
    <row r="876" spans="2:4" x14ac:dyDescent="0.3">
      <c r="B876" s="110"/>
      <c r="C876" s="110"/>
      <c r="D876" s="110"/>
    </row>
    <row r="877" spans="2:4" x14ac:dyDescent="0.3">
      <c r="B877" s="110"/>
      <c r="C877" s="110"/>
      <c r="D877" s="110"/>
    </row>
    <row r="878" spans="2:4" x14ac:dyDescent="0.3">
      <c r="B878" s="110"/>
      <c r="C878" s="110"/>
      <c r="D878" s="110"/>
    </row>
    <row r="879" spans="2:4" x14ac:dyDescent="0.3">
      <c r="B879" s="110"/>
      <c r="C879" s="110"/>
      <c r="D879" s="110"/>
    </row>
    <row r="880" spans="2:4" x14ac:dyDescent="0.3">
      <c r="B880" s="110"/>
      <c r="C880" s="110"/>
      <c r="D880" s="110"/>
    </row>
    <row r="881" spans="2:4" x14ac:dyDescent="0.3">
      <c r="B881" s="110"/>
      <c r="C881" s="110"/>
      <c r="D881" s="110"/>
    </row>
    <row r="882" spans="2:4" x14ac:dyDescent="0.3">
      <c r="B882" s="110"/>
      <c r="C882" s="110"/>
      <c r="D882" s="110"/>
    </row>
    <row r="883" spans="2:4" x14ac:dyDescent="0.3">
      <c r="B883" s="110"/>
      <c r="C883" s="110"/>
      <c r="D883" s="110"/>
    </row>
    <row r="884" spans="2:4" x14ac:dyDescent="0.3">
      <c r="B884" s="110"/>
      <c r="C884" s="110"/>
      <c r="D884" s="110"/>
    </row>
    <row r="885" spans="2:4" x14ac:dyDescent="0.3">
      <c r="B885" s="110"/>
      <c r="C885" s="110"/>
      <c r="D885" s="110"/>
    </row>
    <row r="886" spans="2:4" x14ac:dyDescent="0.3">
      <c r="B886" s="110"/>
      <c r="C886" s="110"/>
      <c r="D886" s="110"/>
    </row>
    <row r="887" spans="2:4" x14ac:dyDescent="0.3">
      <c r="B887" s="110"/>
      <c r="C887" s="110"/>
      <c r="D887" s="110"/>
    </row>
    <row r="888" spans="2:4" x14ac:dyDescent="0.3">
      <c r="B888" s="110"/>
      <c r="C888" s="110"/>
      <c r="D888" s="110"/>
    </row>
    <row r="889" spans="2:4" x14ac:dyDescent="0.3">
      <c r="B889" s="110"/>
      <c r="C889" s="110"/>
      <c r="D889" s="110"/>
    </row>
    <row r="890" spans="2:4" x14ac:dyDescent="0.3">
      <c r="B890" s="110"/>
      <c r="C890" s="110"/>
      <c r="D890" s="110"/>
    </row>
    <row r="891" spans="2:4" x14ac:dyDescent="0.3">
      <c r="B891" s="110"/>
      <c r="C891" s="110"/>
      <c r="D891" s="110"/>
    </row>
    <row r="892" spans="2:4" x14ac:dyDescent="0.3">
      <c r="B892" s="110"/>
      <c r="C892" s="110"/>
      <c r="D892" s="110"/>
    </row>
    <row r="893" spans="2:4" x14ac:dyDescent="0.3">
      <c r="B893" s="110"/>
      <c r="C893" s="110"/>
      <c r="D893" s="110"/>
    </row>
    <row r="894" spans="2:4" x14ac:dyDescent="0.3">
      <c r="B894" s="110"/>
      <c r="C894" s="110"/>
      <c r="D894" s="110"/>
    </row>
    <row r="895" spans="2:4" x14ac:dyDescent="0.3">
      <c r="B895" s="110"/>
      <c r="C895" s="110"/>
      <c r="D895" s="110"/>
    </row>
    <row r="896" spans="2:4" x14ac:dyDescent="0.3">
      <c r="B896" s="110"/>
      <c r="C896" s="110"/>
      <c r="D896" s="110"/>
    </row>
    <row r="897" spans="2:4" x14ac:dyDescent="0.3">
      <c r="B897" s="110"/>
      <c r="C897" s="110"/>
      <c r="D897" s="110"/>
    </row>
    <row r="898" spans="2:4" x14ac:dyDescent="0.3">
      <c r="B898" s="110"/>
      <c r="C898" s="110"/>
      <c r="D898" s="110"/>
    </row>
    <row r="899" spans="2:4" x14ac:dyDescent="0.3">
      <c r="B899" s="110"/>
      <c r="C899" s="110"/>
      <c r="D899" s="110"/>
    </row>
    <row r="900" spans="2:4" x14ac:dyDescent="0.3">
      <c r="B900" s="110"/>
      <c r="C900" s="110"/>
      <c r="D900" s="110"/>
    </row>
    <row r="901" spans="2:4" x14ac:dyDescent="0.3">
      <c r="B901" s="110"/>
      <c r="C901" s="110"/>
      <c r="D901" s="110"/>
    </row>
    <row r="902" spans="2:4" x14ac:dyDescent="0.3">
      <c r="B902" s="110"/>
      <c r="C902" s="110"/>
      <c r="D902" s="110"/>
    </row>
    <row r="903" spans="2:4" x14ac:dyDescent="0.3">
      <c r="B903" s="110"/>
      <c r="C903" s="110"/>
      <c r="D903" s="110"/>
    </row>
    <row r="904" spans="2:4" x14ac:dyDescent="0.3">
      <c r="B904" s="110"/>
      <c r="C904" s="110"/>
      <c r="D904" s="110"/>
    </row>
    <row r="905" spans="2:4" x14ac:dyDescent="0.3">
      <c r="B905" s="110"/>
      <c r="C905" s="110"/>
      <c r="D905" s="110"/>
    </row>
    <row r="906" spans="2:4" x14ac:dyDescent="0.3">
      <c r="B906" s="110"/>
      <c r="C906" s="110"/>
      <c r="D906" s="110"/>
    </row>
    <row r="907" spans="2:4" x14ac:dyDescent="0.3">
      <c r="B907" s="110"/>
      <c r="C907" s="110"/>
      <c r="D907" s="110"/>
    </row>
    <row r="908" spans="2:4" x14ac:dyDescent="0.3">
      <c r="B908" s="110"/>
      <c r="C908" s="110"/>
      <c r="D908" s="110"/>
    </row>
    <row r="909" spans="2:4" x14ac:dyDescent="0.3">
      <c r="B909" s="110"/>
      <c r="C909" s="110"/>
      <c r="D909" s="110"/>
    </row>
    <row r="910" spans="2:4" x14ac:dyDescent="0.3">
      <c r="B910" s="110"/>
      <c r="C910" s="110"/>
      <c r="D910" s="110"/>
    </row>
    <row r="911" spans="2:4" x14ac:dyDescent="0.3">
      <c r="B911" s="110"/>
      <c r="C911" s="110"/>
      <c r="D911" s="110"/>
    </row>
    <row r="912" spans="2:4" x14ac:dyDescent="0.3">
      <c r="B912" s="110"/>
      <c r="C912" s="110"/>
      <c r="D912" s="110"/>
    </row>
    <row r="913" spans="2:4" x14ac:dyDescent="0.3">
      <c r="B913" s="110"/>
      <c r="C913" s="110"/>
      <c r="D913" s="110"/>
    </row>
    <row r="914" spans="2:4" x14ac:dyDescent="0.3">
      <c r="B914" s="110"/>
      <c r="C914" s="110"/>
      <c r="D914" s="110"/>
    </row>
    <row r="915" spans="2:4" x14ac:dyDescent="0.3">
      <c r="B915" s="110"/>
      <c r="C915" s="110"/>
      <c r="D915" s="110"/>
    </row>
    <row r="916" spans="2:4" x14ac:dyDescent="0.3">
      <c r="B916" s="110"/>
      <c r="C916" s="110"/>
      <c r="D916" s="110"/>
    </row>
    <row r="917" spans="2:4" x14ac:dyDescent="0.3">
      <c r="B917" s="110"/>
      <c r="C917" s="110"/>
      <c r="D917" s="110"/>
    </row>
    <row r="918" spans="2:4" x14ac:dyDescent="0.3">
      <c r="B918" s="110"/>
      <c r="C918" s="110"/>
      <c r="D918" s="110"/>
    </row>
    <row r="919" spans="2:4" x14ac:dyDescent="0.3">
      <c r="B919" s="110"/>
      <c r="C919" s="110"/>
      <c r="D919" s="110"/>
    </row>
    <row r="920" spans="2:4" x14ac:dyDescent="0.3">
      <c r="B920" s="110"/>
      <c r="C920" s="110"/>
      <c r="D920" s="110"/>
    </row>
    <row r="921" spans="2:4" x14ac:dyDescent="0.3">
      <c r="B921" s="110"/>
      <c r="C921" s="110"/>
      <c r="D921" s="110"/>
    </row>
    <row r="922" spans="2:4" x14ac:dyDescent="0.3">
      <c r="B922" s="110"/>
      <c r="C922" s="110"/>
      <c r="D922" s="110"/>
    </row>
    <row r="923" spans="2:4" x14ac:dyDescent="0.3">
      <c r="B923" s="110"/>
      <c r="C923" s="110"/>
      <c r="D923" s="110"/>
    </row>
    <row r="924" spans="2:4" x14ac:dyDescent="0.3">
      <c r="B924" s="110"/>
      <c r="C924" s="110"/>
      <c r="D924" s="110"/>
    </row>
    <row r="925" spans="2:4" x14ac:dyDescent="0.3">
      <c r="B925" s="110"/>
      <c r="C925" s="110"/>
      <c r="D925" s="110"/>
    </row>
    <row r="926" spans="2:4" x14ac:dyDescent="0.3">
      <c r="B926" s="110"/>
      <c r="C926" s="110"/>
      <c r="D926" s="110"/>
    </row>
    <row r="927" spans="2:4" x14ac:dyDescent="0.3">
      <c r="B927" s="110"/>
      <c r="C927" s="110"/>
      <c r="D927" s="110"/>
    </row>
    <row r="928" spans="2:4" x14ac:dyDescent="0.3">
      <c r="B928" s="110"/>
      <c r="C928" s="110"/>
      <c r="D928" s="110"/>
    </row>
    <row r="929" spans="2:4" x14ac:dyDescent="0.3">
      <c r="B929" s="110"/>
      <c r="C929" s="110"/>
      <c r="D929" s="110"/>
    </row>
    <row r="930" spans="2:4" x14ac:dyDescent="0.3">
      <c r="B930" s="110"/>
      <c r="C930" s="110"/>
      <c r="D930" s="110"/>
    </row>
    <row r="931" spans="2:4" x14ac:dyDescent="0.3">
      <c r="B931" s="110"/>
      <c r="C931" s="110"/>
      <c r="D931" s="110"/>
    </row>
    <row r="932" spans="2:4" x14ac:dyDescent="0.3">
      <c r="B932" s="110"/>
      <c r="C932" s="110"/>
      <c r="D932" s="110"/>
    </row>
    <row r="933" spans="2:4" x14ac:dyDescent="0.3">
      <c r="B933" s="110"/>
      <c r="C933" s="110"/>
      <c r="D933" s="110"/>
    </row>
    <row r="934" spans="2:4" x14ac:dyDescent="0.3">
      <c r="B934" s="110"/>
      <c r="C934" s="110"/>
      <c r="D934" s="110"/>
    </row>
    <row r="935" spans="2:4" x14ac:dyDescent="0.3">
      <c r="B935" s="110"/>
      <c r="C935" s="110"/>
      <c r="D935" s="110"/>
    </row>
    <row r="936" spans="2:4" x14ac:dyDescent="0.3">
      <c r="B936" s="110"/>
      <c r="C936" s="110"/>
      <c r="D936" s="110"/>
    </row>
    <row r="937" spans="2:4" x14ac:dyDescent="0.3">
      <c r="B937" s="110"/>
      <c r="C937" s="110"/>
      <c r="D937" s="110"/>
    </row>
    <row r="938" spans="2:4" x14ac:dyDescent="0.3">
      <c r="B938" s="110"/>
      <c r="C938" s="110"/>
      <c r="D938" s="110"/>
    </row>
    <row r="939" spans="2:4" x14ac:dyDescent="0.3">
      <c r="B939" s="110"/>
      <c r="C939" s="110"/>
      <c r="D939" s="110"/>
    </row>
    <row r="940" spans="2:4" x14ac:dyDescent="0.3">
      <c r="B940" s="110"/>
      <c r="C940" s="110"/>
      <c r="D940" s="110"/>
    </row>
    <row r="941" spans="2:4" x14ac:dyDescent="0.3">
      <c r="B941" s="110"/>
      <c r="C941" s="110"/>
      <c r="D941" s="110"/>
    </row>
    <row r="942" spans="2:4" x14ac:dyDescent="0.3">
      <c r="B942" s="110"/>
      <c r="C942" s="110"/>
      <c r="D942" s="110"/>
    </row>
    <row r="943" spans="2:4" x14ac:dyDescent="0.3">
      <c r="B943" s="110"/>
      <c r="C943" s="110"/>
      <c r="D943" s="110"/>
    </row>
    <row r="944" spans="2:4" x14ac:dyDescent="0.3">
      <c r="B944" s="110"/>
      <c r="C944" s="110"/>
      <c r="D944" s="110"/>
    </row>
    <row r="945" spans="2:4" x14ac:dyDescent="0.3">
      <c r="B945" s="110"/>
      <c r="C945" s="110"/>
      <c r="D945" s="110"/>
    </row>
    <row r="946" spans="2:4" x14ac:dyDescent="0.3">
      <c r="B946" s="110"/>
      <c r="C946" s="110"/>
      <c r="D946" s="110"/>
    </row>
    <row r="947" spans="2:4" x14ac:dyDescent="0.3">
      <c r="B947" s="110"/>
      <c r="C947" s="110"/>
      <c r="D947" s="110"/>
    </row>
    <row r="948" spans="2:4" x14ac:dyDescent="0.3">
      <c r="B948" s="110"/>
      <c r="C948" s="110"/>
      <c r="D948" s="110"/>
    </row>
    <row r="949" spans="2:4" x14ac:dyDescent="0.3">
      <c r="B949" s="110"/>
      <c r="C949" s="110"/>
      <c r="D949" s="110"/>
    </row>
    <row r="950" spans="2:4" x14ac:dyDescent="0.3">
      <c r="B950" s="110"/>
      <c r="C950" s="110"/>
      <c r="D950" s="110"/>
    </row>
    <row r="951" spans="2:4" x14ac:dyDescent="0.3">
      <c r="B951" s="110"/>
      <c r="C951" s="110"/>
      <c r="D951" s="110"/>
    </row>
    <row r="952" spans="2:4" x14ac:dyDescent="0.3">
      <c r="B952" s="110"/>
      <c r="C952" s="110"/>
      <c r="D952" s="110"/>
    </row>
    <row r="953" spans="2:4" x14ac:dyDescent="0.3">
      <c r="B953" s="110"/>
      <c r="C953" s="110"/>
      <c r="D953" s="110"/>
    </row>
    <row r="954" spans="2:4" x14ac:dyDescent="0.3">
      <c r="B954" s="110"/>
      <c r="C954" s="110"/>
      <c r="D954" s="110"/>
    </row>
    <row r="955" spans="2:4" x14ac:dyDescent="0.3">
      <c r="B955" s="110"/>
      <c r="C955" s="110"/>
      <c r="D955" s="110"/>
    </row>
    <row r="956" spans="2:4" x14ac:dyDescent="0.3">
      <c r="B956" s="110"/>
      <c r="C956" s="110"/>
      <c r="D956" s="110"/>
    </row>
    <row r="957" spans="2:4" x14ac:dyDescent="0.3">
      <c r="B957" s="110"/>
      <c r="C957" s="110"/>
      <c r="D957" s="110"/>
    </row>
    <row r="958" spans="2:4" x14ac:dyDescent="0.3">
      <c r="B958" s="110"/>
      <c r="C958" s="110"/>
      <c r="D958" s="110"/>
    </row>
    <row r="959" spans="2:4" x14ac:dyDescent="0.3">
      <c r="B959" s="110"/>
      <c r="C959" s="110"/>
      <c r="D959" s="110"/>
    </row>
    <row r="960" spans="2:4" x14ac:dyDescent="0.3">
      <c r="B960" s="110"/>
      <c r="C960" s="110"/>
      <c r="D960" s="110"/>
    </row>
    <row r="961" spans="2:4" x14ac:dyDescent="0.3">
      <c r="B961" s="110"/>
      <c r="C961" s="110"/>
      <c r="D961" s="110"/>
    </row>
    <row r="962" spans="2:4" x14ac:dyDescent="0.3">
      <c r="B962" s="110"/>
      <c r="C962" s="110"/>
      <c r="D962" s="110"/>
    </row>
    <row r="963" spans="2:4" x14ac:dyDescent="0.3">
      <c r="B963" s="110"/>
      <c r="C963" s="110"/>
      <c r="D963" s="110"/>
    </row>
    <row r="964" spans="2:4" x14ac:dyDescent="0.3">
      <c r="B964" s="110"/>
      <c r="C964" s="110"/>
      <c r="D964" s="110"/>
    </row>
    <row r="965" spans="2:4" x14ac:dyDescent="0.3">
      <c r="B965" s="110"/>
      <c r="C965" s="110"/>
      <c r="D965" s="110"/>
    </row>
    <row r="966" spans="2:4" x14ac:dyDescent="0.3">
      <c r="B966" s="110"/>
      <c r="C966" s="110"/>
      <c r="D966" s="110"/>
    </row>
    <row r="967" spans="2:4" x14ac:dyDescent="0.3">
      <c r="B967" s="110"/>
      <c r="C967" s="110"/>
      <c r="D967" s="110"/>
    </row>
    <row r="968" spans="2:4" x14ac:dyDescent="0.3">
      <c r="B968" s="110"/>
      <c r="C968" s="110"/>
      <c r="D968" s="110"/>
    </row>
    <row r="969" spans="2:4" x14ac:dyDescent="0.3">
      <c r="B969" s="110"/>
      <c r="C969" s="110"/>
      <c r="D969" s="110"/>
    </row>
    <row r="970" spans="2:4" x14ac:dyDescent="0.3">
      <c r="B970" s="110"/>
      <c r="C970" s="110"/>
      <c r="D970" s="110"/>
    </row>
    <row r="971" spans="2:4" x14ac:dyDescent="0.3">
      <c r="B971" s="110"/>
      <c r="C971" s="110"/>
      <c r="D971" s="110"/>
    </row>
    <row r="972" spans="2:4" x14ac:dyDescent="0.3">
      <c r="B972" s="110"/>
      <c r="C972" s="110"/>
      <c r="D972" s="110"/>
    </row>
    <row r="973" spans="2:4" x14ac:dyDescent="0.3">
      <c r="B973" s="110"/>
      <c r="C973" s="110"/>
      <c r="D973" s="110"/>
    </row>
    <row r="974" spans="2:4" x14ac:dyDescent="0.3">
      <c r="B974" s="110"/>
      <c r="C974" s="110"/>
      <c r="D974" s="110"/>
    </row>
    <row r="975" spans="2:4" x14ac:dyDescent="0.3">
      <c r="B975" s="110"/>
      <c r="C975" s="110"/>
      <c r="D975" s="110"/>
    </row>
    <row r="976" spans="2:4" x14ac:dyDescent="0.3">
      <c r="B976" s="110"/>
      <c r="C976" s="110"/>
      <c r="D976" s="110"/>
    </row>
    <row r="977" spans="2:4" x14ac:dyDescent="0.3">
      <c r="B977" s="110"/>
      <c r="C977" s="110"/>
      <c r="D977" s="110"/>
    </row>
    <row r="978" spans="2:4" x14ac:dyDescent="0.3">
      <c r="B978" s="110"/>
      <c r="C978" s="110"/>
      <c r="D978" s="110"/>
    </row>
    <row r="979" spans="2:4" x14ac:dyDescent="0.3">
      <c r="B979" s="110"/>
      <c r="C979" s="110"/>
      <c r="D979" s="110"/>
    </row>
    <row r="980" spans="2:4" x14ac:dyDescent="0.3">
      <c r="B980" s="110"/>
      <c r="C980" s="110"/>
      <c r="D980" s="110"/>
    </row>
    <row r="981" spans="2:4" x14ac:dyDescent="0.3">
      <c r="B981" s="110"/>
      <c r="C981" s="110"/>
      <c r="D981" s="110"/>
    </row>
    <row r="982" spans="2:4" x14ac:dyDescent="0.3">
      <c r="B982" s="110"/>
      <c r="C982" s="110"/>
      <c r="D982" s="110"/>
    </row>
    <row r="983" spans="2:4" x14ac:dyDescent="0.3">
      <c r="B983" s="110"/>
      <c r="C983" s="110"/>
      <c r="D983" s="110"/>
    </row>
    <row r="984" spans="2:4" x14ac:dyDescent="0.3">
      <c r="B984" s="110"/>
      <c r="C984" s="110"/>
      <c r="D984" s="110"/>
    </row>
    <row r="985" spans="2:4" x14ac:dyDescent="0.3">
      <c r="B985" s="110"/>
      <c r="C985" s="110"/>
      <c r="D985" s="110"/>
    </row>
    <row r="986" spans="2:4" x14ac:dyDescent="0.3">
      <c r="B986" s="110"/>
      <c r="C986" s="110"/>
      <c r="D986" s="110"/>
    </row>
    <row r="987" spans="2:4" x14ac:dyDescent="0.3">
      <c r="B987" s="110"/>
      <c r="C987" s="110"/>
      <c r="D987" s="110"/>
    </row>
    <row r="988" spans="2:4" x14ac:dyDescent="0.3">
      <c r="B988" s="110"/>
      <c r="C988" s="110"/>
      <c r="D988" s="110"/>
    </row>
    <row r="989" spans="2:4" x14ac:dyDescent="0.3">
      <c r="B989" s="110"/>
      <c r="C989" s="110"/>
      <c r="D989" s="110"/>
    </row>
    <row r="990" spans="2:4" x14ac:dyDescent="0.3">
      <c r="B990" s="110"/>
      <c r="C990" s="110"/>
      <c r="D990" s="110"/>
    </row>
    <row r="991" spans="2:4" x14ac:dyDescent="0.3">
      <c r="B991" s="110"/>
      <c r="C991" s="110"/>
      <c r="D991" s="110"/>
    </row>
    <row r="992" spans="2:4" x14ac:dyDescent="0.3">
      <c r="B992" s="110"/>
      <c r="C992" s="110"/>
      <c r="D992" s="110"/>
    </row>
    <row r="993" spans="2:4" x14ac:dyDescent="0.3">
      <c r="B993" s="110"/>
      <c r="C993" s="110"/>
      <c r="D993" s="110"/>
    </row>
    <row r="994" spans="2:4" x14ac:dyDescent="0.3">
      <c r="B994" s="110"/>
      <c r="C994" s="110"/>
      <c r="D994" s="110"/>
    </row>
    <row r="995" spans="2:4" x14ac:dyDescent="0.3">
      <c r="B995" s="110"/>
      <c r="C995" s="110"/>
      <c r="D995" s="110"/>
    </row>
    <row r="996" spans="2:4" x14ac:dyDescent="0.3">
      <c r="B996" s="110"/>
      <c r="C996" s="110"/>
      <c r="D996" s="110"/>
    </row>
    <row r="997" spans="2:4" x14ac:dyDescent="0.3">
      <c r="B997" s="110"/>
      <c r="C997" s="110"/>
      <c r="D997" s="110"/>
    </row>
    <row r="998" spans="2:4" x14ac:dyDescent="0.3">
      <c r="B998" s="110"/>
      <c r="C998" s="110"/>
      <c r="D998" s="110"/>
    </row>
    <row r="999" spans="2:4" x14ac:dyDescent="0.3">
      <c r="B999" s="110"/>
      <c r="C999" s="110"/>
      <c r="D999" s="110"/>
    </row>
    <row r="1000" spans="2:4" x14ac:dyDescent="0.3">
      <c r="B1000" s="110"/>
      <c r="C1000" s="110"/>
      <c r="D1000" s="110"/>
    </row>
    <row r="1001" spans="2:4" x14ac:dyDescent="0.3">
      <c r="B1001" s="110"/>
      <c r="C1001" s="110"/>
      <c r="D1001" s="110"/>
    </row>
    <row r="1002" spans="2:4" x14ac:dyDescent="0.3">
      <c r="B1002" s="110"/>
      <c r="C1002" s="110"/>
      <c r="D1002" s="110"/>
    </row>
    <row r="1003" spans="2:4" x14ac:dyDescent="0.3">
      <c r="B1003" s="110"/>
      <c r="C1003" s="110"/>
      <c r="D1003" s="110"/>
    </row>
    <row r="1004" spans="2:4" x14ac:dyDescent="0.3">
      <c r="B1004" s="110"/>
      <c r="C1004" s="110"/>
      <c r="D1004" s="110"/>
    </row>
    <row r="1005" spans="2:4" x14ac:dyDescent="0.3">
      <c r="B1005" s="110"/>
      <c r="C1005" s="110"/>
      <c r="D1005" s="110"/>
    </row>
    <row r="1006" spans="2:4" x14ac:dyDescent="0.3">
      <c r="B1006" s="110"/>
      <c r="C1006" s="110"/>
      <c r="D1006" s="110"/>
    </row>
    <row r="1007" spans="2:4" x14ac:dyDescent="0.3">
      <c r="B1007" s="110"/>
      <c r="C1007" s="110"/>
      <c r="D1007" s="110"/>
    </row>
    <row r="1008" spans="2:4" x14ac:dyDescent="0.3">
      <c r="B1008" s="110"/>
      <c r="C1008" s="110"/>
      <c r="D1008" s="110"/>
    </row>
    <row r="1009" spans="2:4" x14ac:dyDescent="0.3">
      <c r="B1009" s="110"/>
      <c r="C1009" s="110"/>
      <c r="D1009" s="110"/>
    </row>
    <row r="1010" spans="2:4" x14ac:dyDescent="0.3">
      <c r="B1010" s="110"/>
      <c r="C1010" s="110"/>
      <c r="D1010" s="110"/>
    </row>
    <row r="1011" spans="2:4" x14ac:dyDescent="0.3">
      <c r="B1011" s="110"/>
      <c r="C1011" s="110"/>
      <c r="D1011" s="110"/>
    </row>
    <row r="1012" spans="2:4" x14ac:dyDescent="0.3">
      <c r="B1012" s="110"/>
      <c r="C1012" s="110"/>
      <c r="D1012" s="110"/>
    </row>
    <row r="1013" spans="2:4" x14ac:dyDescent="0.3">
      <c r="B1013" s="110"/>
      <c r="C1013" s="110"/>
      <c r="D1013" s="110"/>
    </row>
    <row r="1014" spans="2:4" x14ac:dyDescent="0.3">
      <c r="B1014" s="110"/>
      <c r="C1014" s="110"/>
      <c r="D1014" s="110"/>
    </row>
    <row r="1015" spans="2:4" x14ac:dyDescent="0.3">
      <c r="B1015" s="110"/>
      <c r="C1015" s="110"/>
      <c r="D1015" s="110"/>
    </row>
    <row r="1016" spans="2:4" x14ac:dyDescent="0.3">
      <c r="B1016" s="110"/>
      <c r="C1016" s="110"/>
      <c r="D1016" s="110"/>
    </row>
    <row r="1017" spans="2:4" x14ac:dyDescent="0.3">
      <c r="B1017" s="110"/>
      <c r="C1017" s="110"/>
      <c r="D1017" s="110"/>
    </row>
    <row r="1018" spans="2:4" x14ac:dyDescent="0.3">
      <c r="B1018" s="110"/>
      <c r="C1018" s="110"/>
      <c r="D1018" s="110"/>
    </row>
    <row r="1019" spans="2:4" x14ac:dyDescent="0.3">
      <c r="B1019" s="110"/>
      <c r="C1019" s="110"/>
      <c r="D1019" s="110"/>
    </row>
    <row r="1020" spans="2:4" x14ac:dyDescent="0.3">
      <c r="B1020" s="110"/>
      <c r="C1020" s="110"/>
      <c r="D1020" s="110"/>
    </row>
    <row r="1021" spans="2:4" x14ac:dyDescent="0.3">
      <c r="B1021" s="110"/>
      <c r="C1021" s="110"/>
      <c r="D1021" s="110"/>
    </row>
    <row r="1022" spans="2:4" x14ac:dyDescent="0.3">
      <c r="B1022" s="110"/>
      <c r="C1022" s="110"/>
      <c r="D1022" s="110"/>
    </row>
    <row r="1023" spans="2:4" x14ac:dyDescent="0.3">
      <c r="B1023" s="110"/>
      <c r="C1023" s="110"/>
      <c r="D1023" s="110"/>
    </row>
    <row r="1024" spans="2:4" x14ac:dyDescent="0.3">
      <c r="B1024" s="110"/>
      <c r="C1024" s="110"/>
      <c r="D1024" s="110"/>
    </row>
    <row r="1025" spans="2:4" x14ac:dyDescent="0.3">
      <c r="B1025" s="110"/>
      <c r="C1025" s="110"/>
      <c r="D1025" s="110"/>
    </row>
    <row r="1026" spans="2:4" x14ac:dyDescent="0.3">
      <c r="B1026" s="110"/>
      <c r="C1026" s="110"/>
      <c r="D1026" s="110"/>
    </row>
    <row r="1027" spans="2:4" x14ac:dyDescent="0.3">
      <c r="B1027" s="110"/>
      <c r="C1027" s="110"/>
      <c r="D1027" s="110"/>
    </row>
    <row r="1028" spans="2:4" x14ac:dyDescent="0.3">
      <c r="B1028" s="110"/>
      <c r="C1028" s="110"/>
      <c r="D1028" s="110"/>
    </row>
    <row r="1029" spans="2:4" x14ac:dyDescent="0.3">
      <c r="B1029" s="110"/>
      <c r="C1029" s="110"/>
      <c r="D1029" s="110"/>
    </row>
    <row r="1030" spans="2:4" x14ac:dyDescent="0.3">
      <c r="B1030" s="110"/>
      <c r="C1030" s="110"/>
      <c r="D1030" s="110"/>
    </row>
    <row r="1031" spans="2:4" x14ac:dyDescent="0.3">
      <c r="B1031" s="110"/>
      <c r="C1031" s="110"/>
      <c r="D1031" s="110"/>
    </row>
    <row r="1032" spans="2:4" x14ac:dyDescent="0.3">
      <c r="B1032" s="110"/>
      <c r="C1032" s="110"/>
      <c r="D1032" s="110"/>
    </row>
    <row r="1033" spans="2:4" x14ac:dyDescent="0.3">
      <c r="B1033" s="110"/>
      <c r="C1033" s="110"/>
      <c r="D1033" s="110"/>
    </row>
    <row r="1034" spans="2:4" x14ac:dyDescent="0.3">
      <c r="B1034" s="110"/>
      <c r="C1034" s="110"/>
      <c r="D1034" s="110"/>
    </row>
    <row r="1035" spans="2:4" x14ac:dyDescent="0.3">
      <c r="B1035" s="110"/>
      <c r="C1035" s="110"/>
      <c r="D1035" s="110"/>
    </row>
    <row r="1036" spans="2:4" x14ac:dyDescent="0.3">
      <c r="B1036" s="110"/>
      <c r="C1036" s="110"/>
      <c r="D1036" s="110"/>
    </row>
    <row r="1037" spans="2:4" x14ac:dyDescent="0.3">
      <c r="B1037" s="110"/>
      <c r="C1037" s="110"/>
      <c r="D1037" s="110"/>
    </row>
    <row r="1038" spans="2:4" x14ac:dyDescent="0.3">
      <c r="B1038" s="110"/>
      <c r="C1038" s="110"/>
      <c r="D1038" s="110"/>
    </row>
    <row r="1039" spans="2:4" x14ac:dyDescent="0.3">
      <c r="B1039" s="110"/>
      <c r="C1039" s="110"/>
      <c r="D1039" s="110"/>
    </row>
    <row r="1040" spans="2:4" x14ac:dyDescent="0.3">
      <c r="B1040" s="110"/>
      <c r="C1040" s="110"/>
      <c r="D1040" s="110"/>
    </row>
    <row r="1041" spans="2:4" x14ac:dyDescent="0.3">
      <c r="B1041" s="110"/>
      <c r="C1041" s="110"/>
      <c r="D1041" s="110"/>
    </row>
    <row r="1042" spans="2:4" x14ac:dyDescent="0.3">
      <c r="B1042" s="110"/>
      <c r="C1042" s="110"/>
      <c r="D1042" s="110"/>
    </row>
    <row r="1043" spans="2:4" x14ac:dyDescent="0.3">
      <c r="B1043" s="110"/>
      <c r="C1043" s="110"/>
      <c r="D1043" s="110"/>
    </row>
    <row r="1044" spans="2:4" x14ac:dyDescent="0.3">
      <c r="B1044" s="110"/>
      <c r="C1044" s="110"/>
      <c r="D1044" s="110"/>
    </row>
    <row r="1045" spans="2:4" x14ac:dyDescent="0.3">
      <c r="B1045" s="110"/>
      <c r="C1045" s="110"/>
      <c r="D1045" s="110"/>
    </row>
    <row r="1046" spans="2:4" x14ac:dyDescent="0.3">
      <c r="B1046" s="110"/>
      <c r="C1046" s="110"/>
      <c r="D1046" s="110"/>
    </row>
    <row r="1047" spans="2:4" x14ac:dyDescent="0.3">
      <c r="B1047" s="110"/>
      <c r="C1047" s="110"/>
      <c r="D1047" s="110"/>
    </row>
    <row r="1048" spans="2:4" x14ac:dyDescent="0.3">
      <c r="B1048" s="110"/>
      <c r="C1048" s="110"/>
      <c r="D1048" s="110"/>
    </row>
    <row r="1049" spans="2:4" x14ac:dyDescent="0.3">
      <c r="B1049" s="110"/>
      <c r="C1049" s="110"/>
      <c r="D1049" s="110"/>
    </row>
    <row r="1050" spans="2:4" x14ac:dyDescent="0.3">
      <c r="B1050" s="110"/>
      <c r="C1050" s="110"/>
      <c r="D1050" s="110"/>
    </row>
    <row r="1051" spans="2:4" x14ac:dyDescent="0.3">
      <c r="B1051" s="110"/>
      <c r="C1051" s="110"/>
      <c r="D1051" s="110"/>
    </row>
    <row r="1052" spans="2:4" x14ac:dyDescent="0.3">
      <c r="B1052" s="110"/>
      <c r="C1052" s="110"/>
      <c r="D1052" s="110"/>
    </row>
    <row r="1053" spans="2:4" x14ac:dyDescent="0.3">
      <c r="B1053" s="110"/>
      <c r="C1053" s="110"/>
      <c r="D1053" s="110"/>
    </row>
    <row r="1054" spans="2:4" x14ac:dyDescent="0.3">
      <c r="B1054" s="110"/>
      <c r="C1054" s="110"/>
      <c r="D1054" s="110"/>
    </row>
    <row r="1055" spans="2:4" x14ac:dyDescent="0.3">
      <c r="B1055" s="110"/>
      <c r="C1055" s="110"/>
      <c r="D1055" s="110"/>
    </row>
    <row r="1056" spans="2:4" x14ac:dyDescent="0.3">
      <c r="B1056" s="110"/>
      <c r="C1056" s="110"/>
      <c r="D1056" s="110"/>
    </row>
    <row r="1057" spans="2:4" x14ac:dyDescent="0.3">
      <c r="B1057" s="110"/>
      <c r="C1057" s="110"/>
      <c r="D1057" s="110"/>
    </row>
    <row r="1058" spans="2:4" x14ac:dyDescent="0.3">
      <c r="B1058" s="110"/>
      <c r="C1058" s="110"/>
      <c r="D1058" s="110"/>
    </row>
    <row r="1059" spans="2:4" x14ac:dyDescent="0.3">
      <c r="B1059" s="110"/>
      <c r="C1059" s="110"/>
      <c r="D1059" s="110"/>
    </row>
    <row r="1060" spans="2:4" x14ac:dyDescent="0.3">
      <c r="B1060" s="110"/>
      <c r="C1060" s="110"/>
      <c r="D1060" s="110"/>
    </row>
    <row r="1061" spans="2:4" x14ac:dyDescent="0.3">
      <c r="B1061" s="110"/>
      <c r="C1061" s="110"/>
      <c r="D1061" s="110"/>
    </row>
    <row r="1062" spans="2:4" x14ac:dyDescent="0.3">
      <c r="B1062" s="110"/>
      <c r="C1062" s="110"/>
      <c r="D1062" s="110"/>
    </row>
    <row r="1063" spans="2:4" x14ac:dyDescent="0.3">
      <c r="B1063" s="110"/>
      <c r="C1063" s="110"/>
      <c r="D1063" s="110"/>
    </row>
    <row r="1064" spans="2:4" x14ac:dyDescent="0.3">
      <c r="B1064" s="110"/>
      <c r="C1064" s="110"/>
      <c r="D1064" s="110"/>
    </row>
    <row r="1065" spans="2:4" x14ac:dyDescent="0.3">
      <c r="B1065" s="110"/>
      <c r="C1065" s="110"/>
      <c r="D1065" s="110"/>
    </row>
    <row r="1066" spans="2:4" x14ac:dyDescent="0.3">
      <c r="B1066" s="110"/>
      <c r="C1066" s="110"/>
      <c r="D1066" s="110"/>
    </row>
    <row r="1067" spans="2:4" x14ac:dyDescent="0.3">
      <c r="B1067" s="110"/>
      <c r="C1067" s="110"/>
      <c r="D1067" s="110"/>
    </row>
    <row r="1068" spans="2:4" x14ac:dyDescent="0.3">
      <c r="B1068" s="110"/>
      <c r="C1068" s="110"/>
      <c r="D1068" s="110"/>
    </row>
    <row r="1069" spans="2:4" x14ac:dyDescent="0.3">
      <c r="B1069" s="110"/>
      <c r="C1069" s="110"/>
      <c r="D1069" s="110"/>
    </row>
    <row r="1070" spans="2:4" x14ac:dyDescent="0.3">
      <c r="B1070" s="110"/>
      <c r="C1070" s="110"/>
      <c r="D1070" s="110"/>
    </row>
    <row r="1071" spans="2:4" x14ac:dyDescent="0.3">
      <c r="B1071" s="110"/>
      <c r="C1071" s="110"/>
      <c r="D1071" s="110"/>
    </row>
    <row r="1072" spans="2:4" x14ac:dyDescent="0.3">
      <c r="B1072" s="110"/>
      <c r="C1072" s="110"/>
      <c r="D1072" s="110"/>
    </row>
    <row r="1073" spans="2:4" x14ac:dyDescent="0.3">
      <c r="B1073" s="110"/>
      <c r="C1073" s="110"/>
      <c r="D1073" s="110"/>
    </row>
    <row r="1074" spans="2:4" x14ac:dyDescent="0.3">
      <c r="B1074" s="110"/>
      <c r="C1074" s="110"/>
      <c r="D1074" s="110"/>
    </row>
    <row r="1075" spans="2:4" x14ac:dyDescent="0.3">
      <c r="B1075" s="110"/>
      <c r="C1075" s="110"/>
      <c r="D1075" s="110"/>
    </row>
    <row r="1076" spans="2:4" x14ac:dyDescent="0.3">
      <c r="B1076" s="110"/>
      <c r="C1076" s="110"/>
      <c r="D1076" s="110"/>
    </row>
    <row r="1077" spans="2:4" x14ac:dyDescent="0.3">
      <c r="B1077" s="110"/>
      <c r="C1077" s="110"/>
      <c r="D1077" s="110"/>
    </row>
    <row r="1078" spans="2:4" x14ac:dyDescent="0.3">
      <c r="B1078" s="110"/>
      <c r="C1078" s="110"/>
      <c r="D1078" s="110"/>
    </row>
    <row r="1079" spans="2:4" x14ac:dyDescent="0.3">
      <c r="B1079" s="110"/>
      <c r="C1079" s="110"/>
      <c r="D1079" s="110"/>
    </row>
    <row r="1080" spans="2:4" x14ac:dyDescent="0.3">
      <c r="B1080" s="110"/>
      <c r="C1080" s="110"/>
      <c r="D1080" s="110"/>
    </row>
    <row r="1081" spans="2:4" x14ac:dyDescent="0.3">
      <c r="B1081" s="110"/>
      <c r="C1081" s="110"/>
      <c r="D1081" s="110"/>
    </row>
    <row r="1082" spans="2:4" x14ac:dyDescent="0.3">
      <c r="B1082" s="110"/>
      <c r="C1082" s="110"/>
      <c r="D1082" s="110"/>
    </row>
    <row r="1083" spans="2:4" x14ac:dyDescent="0.3">
      <c r="B1083" s="110"/>
      <c r="C1083" s="110"/>
      <c r="D1083" s="110"/>
    </row>
    <row r="1084" spans="2:4" x14ac:dyDescent="0.3">
      <c r="B1084" s="110"/>
      <c r="C1084" s="110"/>
      <c r="D1084" s="110"/>
    </row>
    <row r="1085" spans="2:4" x14ac:dyDescent="0.3">
      <c r="B1085" s="110"/>
      <c r="C1085" s="110"/>
      <c r="D1085" s="110"/>
    </row>
    <row r="1086" spans="2:4" x14ac:dyDescent="0.3">
      <c r="B1086" s="110"/>
      <c r="C1086" s="110"/>
      <c r="D1086" s="110"/>
    </row>
    <row r="1087" spans="2:4" x14ac:dyDescent="0.3">
      <c r="B1087" s="110"/>
      <c r="C1087" s="110"/>
      <c r="D1087" s="110"/>
    </row>
    <row r="1088" spans="2:4" x14ac:dyDescent="0.3">
      <c r="B1088" s="110"/>
      <c r="C1088" s="110"/>
      <c r="D1088" s="110"/>
    </row>
    <row r="1089" spans="2:4" x14ac:dyDescent="0.3">
      <c r="B1089" s="110"/>
      <c r="C1089" s="110"/>
      <c r="D1089" s="110"/>
    </row>
    <row r="1090" spans="2:4" x14ac:dyDescent="0.3">
      <c r="B1090" s="110"/>
      <c r="C1090" s="110"/>
      <c r="D1090" s="110"/>
    </row>
    <row r="1091" spans="2:4" x14ac:dyDescent="0.3">
      <c r="B1091" s="110"/>
      <c r="C1091" s="110"/>
      <c r="D1091" s="110"/>
    </row>
    <row r="1092" spans="2:4" x14ac:dyDescent="0.3">
      <c r="B1092" s="110"/>
      <c r="C1092" s="110"/>
      <c r="D1092" s="110"/>
    </row>
    <row r="1093" spans="2:4" x14ac:dyDescent="0.3">
      <c r="B1093" s="110"/>
      <c r="C1093" s="110"/>
      <c r="D1093" s="110"/>
    </row>
    <row r="1094" spans="2:4" x14ac:dyDescent="0.3">
      <c r="B1094" s="110"/>
      <c r="C1094" s="110"/>
      <c r="D1094" s="110"/>
    </row>
    <row r="1095" spans="2:4" x14ac:dyDescent="0.3">
      <c r="B1095" s="110"/>
      <c r="C1095" s="110"/>
      <c r="D1095" s="110"/>
    </row>
    <row r="1096" spans="2:4" x14ac:dyDescent="0.3">
      <c r="B1096" s="110"/>
      <c r="C1096" s="110"/>
      <c r="D1096" s="110"/>
    </row>
    <row r="1097" spans="2:4" x14ac:dyDescent="0.3">
      <c r="B1097" s="110"/>
      <c r="C1097" s="110"/>
      <c r="D1097" s="110"/>
    </row>
    <row r="1098" spans="2:4" x14ac:dyDescent="0.3">
      <c r="B1098" s="110"/>
      <c r="C1098" s="110"/>
      <c r="D1098" s="110"/>
    </row>
    <row r="1099" spans="2:4" x14ac:dyDescent="0.3">
      <c r="B1099" s="110"/>
      <c r="C1099" s="110"/>
      <c r="D1099" s="110"/>
    </row>
    <row r="1100" spans="2:4" x14ac:dyDescent="0.3">
      <c r="B1100" s="110"/>
      <c r="C1100" s="110"/>
      <c r="D1100" s="110"/>
    </row>
    <row r="1101" spans="2:4" x14ac:dyDescent="0.3">
      <c r="B1101" s="110"/>
      <c r="C1101" s="110"/>
      <c r="D1101" s="110"/>
    </row>
    <row r="1102" spans="2:4" x14ac:dyDescent="0.3">
      <c r="B1102" s="110"/>
      <c r="C1102" s="110"/>
      <c r="D1102" s="110"/>
    </row>
    <row r="1103" spans="2:4" x14ac:dyDescent="0.3">
      <c r="B1103" s="110"/>
      <c r="C1103" s="110"/>
      <c r="D1103" s="110"/>
    </row>
    <row r="1104" spans="2:4" x14ac:dyDescent="0.3">
      <c r="B1104" s="110"/>
      <c r="C1104" s="110"/>
      <c r="D1104" s="110"/>
    </row>
    <row r="1105" spans="2:4" x14ac:dyDescent="0.3">
      <c r="B1105" s="110"/>
      <c r="C1105" s="110"/>
      <c r="D1105" s="110"/>
    </row>
    <row r="1106" spans="2:4" x14ac:dyDescent="0.3">
      <c r="B1106" s="110"/>
      <c r="C1106" s="110"/>
      <c r="D1106" s="110"/>
    </row>
    <row r="1107" spans="2:4" x14ac:dyDescent="0.3">
      <c r="B1107" s="110"/>
      <c r="C1107" s="110"/>
      <c r="D1107" s="110"/>
    </row>
    <row r="1108" spans="2:4" x14ac:dyDescent="0.3">
      <c r="B1108" s="110"/>
      <c r="C1108" s="110"/>
      <c r="D1108" s="110"/>
    </row>
    <row r="1109" spans="2:4" x14ac:dyDescent="0.3">
      <c r="B1109" s="110"/>
      <c r="C1109" s="110"/>
      <c r="D1109" s="110"/>
    </row>
    <row r="1110" spans="2:4" x14ac:dyDescent="0.3">
      <c r="B1110" s="110"/>
      <c r="C1110" s="110"/>
      <c r="D1110" s="110"/>
    </row>
    <row r="1111" spans="2:4" x14ac:dyDescent="0.3">
      <c r="B1111" s="110"/>
      <c r="C1111" s="110"/>
      <c r="D1111" s="110"/>
    </row>
    <row r="1112" spans="2:4" x14ac:dyDescent="0.3">
      <c r="B1112" s="110"/>
      <c r="C1112" s="110"/>
      <c r="D1112" s="110"/>
    </row>
    <row r="1113" spans="2:4" x14ac:dyDescent="0.3">
      <c r="B1113" s="110"/>
      <c r="C1113" s="110"/>
      <c r="D1113" s="110"/>
    </row>
    <row r="1114" spans="2:4" x14ac:dyDescent="0.3">
      <c r="B1114" s="110"/>
      <c r="C1114" s="110"/>
      <c r="D1114" s="110"/>
    </row>
    <row r="1115" spans="2:4" x14ac:dyDescent="0.3">
      <c r="B1115" s="110"/>
      <c r="C1115" s="110"/>
      <c r="D1115" s="110"/>
    </row>
    <row r="1116" spans="2:4" x14ac:dyDescent="0.3">
      <c r="B1116" s="110"/>
      <c r="C1116" s="110"/>
      <c r="D1116" s="110"/>
    </row>
    <row r="1117" spans="2:4" x14ac:dyDescent="0.3">
      <c r="B1117" s="110"/>
      <c r="C1117" s="110"/>
      <c r="D1117" s="110"/>
    </row>
    <row r="1118" spans="2:4" x14ac:dyDescent="0.3">
      <c r="B1118" s="110"/>
      <c r="C1118" s="110"/>
      <c r="D1118" s="110"/>
    </row>
    <row r="1119" spans="2:4" x14ac:dyDescent="0.3">
      <c r="B1119" s="110"/>
      <c r="C1119" s="110"/>
      <c r="D1119" s="110"/>
    </row>
    <row r="1120" spans="2:4" x14ac:dyDescent="0.3">
      <c r="B1120" s="110"/>
      <c r="C1120" s="110"/>
      <c r="D1120" s="110"/>
    </row>
    <row r="1121" spans="2:4" x14ac:dyDescent="0.3">
      <c r="B1121" s="110"/>
      <c r="C1121" s="110"/>
      <c r="D1121" s="110"/>
    </row>
    <row r="1122" spans="2:4" x14ac:dyDescent="0.3">
      <c r="B1122" s="110"/>
      <c r="C1122" s="110"/>
      <c r="D1122" s="110"/>
    </row>
    <row r="1123" spans="2:4" x14ac:dyDescent="0.3">
      <c r="B1123" s="110"/>
      <c r="C1123" s="110"/>
      <c r="D1123" s="110"/>
    </row>
    <row r="1124" spans="2:4" x14ac:dyDescent="0.3">
      <c r="B1124" s="110"/>
      <c r="C1124" s="110"/>
      <c r="D1124" s="110"/>
    </row>
    <row r="1125" spans="2:4" x14ac:dyDescent="0.3">
      <c r="B1125" s="110"/>
      <c r="C1125" s="110"/>
      <c r="D1125" s="110"/>
    </row>
    <row r="1126" spans="2:4" x14ac:dyDescent="0.3">
      <c r="B1126" s="110"/>
      <c r="C1126" s="110"/>
      <c r="D1126" s="110"/>
    </row>
    <row r="1127" spans="2:4" x14ac:dyDescent="0.3">
      <c r="B1127" s="110"/>
      <c r="C1127" s="110"/>
      <c r="D1127" s="110"/>
    </row>
    <row r="1128" spans="2:4" x14ac:dyDescent="0.3">
      <c r="B1128" s="110"/>
      <c r="C1128" s="110"/>
      <c r="D1128" s="110"/>
    </row>
    <row r="1129" spans="2:4" x14ac:dyDescent="0.3">
      <c r="B1129" s="110"/>
      <c r="C1129" s="110"/>
      <c r="D1129" s="110"/>
    </row>
    <row r="1130" spans="2:4" x14ac:dyDescent="0.3">
      <c r="B1130" s="110"/>
      <c r="C1130" s="110"/>
      <c r="D1130" s="110"/>
    </row>
    <row r="1131" spans="2:4" x14ac:dyDescent="0.3">
      <c r="B1131" s="110"/>
      <c r="C1131" s="110"/>
      <c r="D1131" s="110"/>
    </row>
    <row r="1132" spans="2:4" x14ac:dyDescent="0.3">
      <c r="B1132" s="110"/>
      <c r="C1132" s="110"/>
      <c r="D1132" s="110"/>
    </row>
    <row r="1133" spans="2:4" x14ac:dyDescent="0.3">
      <c r="B1133" s="110"/>
      <c r="C1133" s="110"/>
      <c r="D1133" s="110"/>
    </row>
    <row r="1134" spans="2:4" x14ac:dyDescent="0.3">
      <c r="B1134" s="110"/>
      <c r="C1134" s="110"/>
      <c r="D1134" s="110"/>
    </row>
    <row r="1135" spans="2:4" x14ac:dyDescent="0.3">
      <c r="B1135" s="110"/>
      <c r="C1135" s="110"/>
      <c r="D1135" s="110"/>
    </row>
    <row r="1136" spans="2:4" x14ac:dyDescent="0.3">
      <c r="B1136" s="110"/>
      <c r="C1136" s="110"/>
      <c r="D1136" s="110"/>
    </row>
    <row r="1137" spans="2:4" x14ac:dyDescent="0.3">
      <c r="B1137" s="110"/>
      <c r="C1137" s="110"/>
      <c r="D1137" s="110"/>
    </row>
    <row r="1138" spans="2:4" x14ac:dyDescent="0.3">
      <c r="B1138" s="110"/>
      <c r="C1138" s="110"/>
      <c r="D1138" s="110"/>
    </row>
    <row r="1139" spans="2:4" x14ac:dyDescent="0.3">
      <c r="B1139" s="110"/>
      <c r="C1139" s="110"/>
      <c r="D1139" s="110"/>
    </row>
    <row r="1140" spans="2:4" x14ac:dyDescent="0.3">
      <c r="B1140" s="110"/>
      <c r="C1140" s="110"/>
      <c r="D1140" s="110"/>
    </row>
    <row r="1141" spans="2:4" x14ac:dyDescent="0.3">
      <c r="B1141" s="110"/>
      <c r="C1141" s="110"/>
      <c r="D1141" s="110"/>
    </row>
    <row r="1142" spans="2:4" x14ac:dyDescent="0.3">
      <c r="B1142" s="110"/>
      <c r="C1142" s="110"/>
      <c r="D1142" s="110"/>
    </row>
    <row r="1143" spans="2:4" x14ac:dyDescent="0.3">
      <c r="B1143" s="110"/>
      <c r="C1143" s="110"/>
      <c r="D1143" s="110"/>
    </row>
    <row r="1144" spans="2:4" x14ac:dyDescent="0.3">
      <c r="B1144" s="110"/>
      <c r="C1144" s="110"/>
      <c r="D1144" s="110"/>
    </row>
    <row r="1145" spans="2:4" x14ac:dyDescent="0.3">
      <c r="B1145" s="110"/>
      <c r="C1145" s="110"/>
      <c r="D1145" s="110"/>
    </row>
    <row r="1146" spans="2:4" x14ac:dyDescent="0.3">
      <c r="B1146" s="110"/>
      <c r="C1146" s="110"/>
      <c r="D1146" s="110"/>
    </row>
    <row r="1147" spans="2:4" x14ac:dyDescent="0.3">
      <c r="B1147" s="110"/>
      <c r="C1147" s="110"/>
      <c r="D1147" s="110"/>
    </row>
    <row r="1148" spans="2:4" x14ac:dyDescent="0.3">
      <c r="B1148" s="110"/>
      <c r="C1148" s="110"/>
      <c r="D1148" s="110"/>
    </row>
    <row r="1149" spans="2:4" x14ac:dyDescent="0.3">
      <c r="B1149" s="110"/>
      <c r="C1149" s="110"/>
      <c r="D1149" s="110"/>
    </row>
    <row r="1150" spans="2:4" x14ac:dyDescent="0.3">
      <c r="B1150" s="110"/>
      <c r="C1150" s="110"/>
      <c r="D1150" s="110"/>
    </row>
    <row r="1151" spans="2:4" x14ac:dyDescent="0.3">
      <c r="B1151" s="110"/>
      <c r="C1151" s="110"/>
      <c r="D1151" s="110"/>
    </row>
    <row r="1152" spans="2:4" x14ac:dyDescent="0.3">
      <c r="B1152" s="110"/>
      <c r="C1152" s="110"/>
      <c r="D1152" s="110"/>
    </row>
    <row r="1153" spans="2:4" x14ac:dyDescent="0.3">
      <c r="B1153" s="110"/>
      <c r="C1153" s="110"/>
      <c r="D1153" s="110"/>
    </row>
    <row r="1154" spans="2:4" x14ac:dyDescent="0.3">
      <c r="B1154" s="110"/>
      <c r="C1154" s="110"/>
      <c r="D1154" s="110"/>
    </row>
    <row r="1155" spans="2:4" x14ac:dyDescent="0.3">
      <c r="B1155" s="110"/>
      <c r="C1155" s="110"/>
      <c r="D1155" s="110"/>
    </row>
    <row r="1156" spans="2:4" x14ac:dyDescent="0.3">
      <c r="B1156" s="110"/>
      <c r="C1156" s="110"/>
      <c r="D1156" s="110"/>
    </row>
    <row r="1157" spans="2:4" x14ac:dyDescent="0.3">
      <c r="B1157" s="110"/>
      <c r="C1157" s="110"/>
      <c r="D1157" s="110"/>
    </row>
    <row r="1158" spans="2:4" x14ac:dyDescent="0.3">
      <c r="B1158" s="110"/>
      <c r="C1158" s="110"/>
      <c r="D1158" s="110"/>
    </row>
    <row r="1159" spans="2:4" x14ac:dyDescent="0.3">
      <c r="B1159" s="110"/>
      <c r="C1159" s="110"/>
      <c r="D1159" s="110"/>
    </row>
    <row r="1160" spans="2:4" x14ac:dyDescent="0.3">
      <c r="B1160" s="110"/>
      <c r="C1160" s="110"/>
      <c r="D1160" s="110"/>
    </row>
    <row r="1161" spans="2:4" x14ac:dyDescent="0.3">
      <c r="B1161" s="110"/>
      <c r="C1161" s="110"/>
      <c r="D1161" s="110"/>
    </row>
    <row r="1162" spans="2:4" x14ac:dyDescent="0.3">
      <c r="B1162" s="110"/>
      <c r="C1162" s="110"/>
      <c r="D1162" s="110"/>
    </row>
    <row r="1163" spans="2:4" x14ac:dyDescent="0.3">
      <c r="B1163" s="110"/>
      <c r="C1163" s="110"/>
      <c r="D1163" s="110"/>
    </row>
    <row r="1164" spans="2:4" x14ac:dyDescent="0.3">
      <c r="B1164" s="110"/>
      <c r="C1164" s="110"/>
      <c r="D1164" s="110"/>
    </row>
    <row r="1165" spans="2:4" x14ac:dyDescent="0.3">
      <c r="B1165" s="110"/>
      <c r="C1165" s="110"/>
      <c r="D1165" s="110"/>
    </row>
    <row r="1166" spans="2:4" x14ac:dyDescent="0.3">
      <c r="B1166" s="110"/>
      <c r="C1166" s="110"/>
      <c r="D1166" s="110"/>
    </row>
    <row r="1167" spans="2:4" x14ac:dyDescent="0.3">
      <c r="B1167" s="110"/>
      <c r="C1167" s="110"/>
      <c r="D1167" s="110"/>
    </row>
    <row r="1168" spans="2:4" x14ac:dyDescent="0.3">
      <c r="B1168" s="110"/>
      <c r="C1168" s="110"/>
      <c r="D1168" s="110"/>
    </row>
    <row r="1169" spans="2:4" x14ac:dyDescent="0.3">
      <c r="B1169" s="110"/>
      <c r="C1169" s="110"/>
      <c r="D1169" s="110"/>
    </row>
    <row r="1170" spans="2:4" x14ac:dyDescent="0.3">
      <c r="B1170" s="110"/>
      <c r="C1170" s="110"/>
      <c r="D1170" s="110"/>
    </row>
    <row r="1171" spans="2:4" x14ac:dyDescent="0.3">
      <c r="B1171" s="110"/>
      <c r="C1171" s="110"/>
      <c r="D1171" s="110"/>
    </row>
    <row r="1172" spans="2:4" x14ac:dyDescent="0.3">
      <c r="B1172" s="110"/>
      <c r="C1172" s="110"/>
      <c r="D1172" s="110"/>
    </row>
    <row r="1173" spans="2:4" x14ac:dyDescent="0.3">
      <c r="B1173" s="110"/>
      <c r="C1173" s="110"/>
      <c r="D1173" s="110"/>
    </row>
    <row r="1174" spans="2:4" x14ac:dyDescent="0.3">
      <c r="B1174" s="110"/>
      <c r="C1174" s="110"/>
      <c r="D1174" s="110"/>
    </row>
    <row r="1175" spans="2:4" x14ac:dyDescent="0.3">
      <c r="B1175" s="110"/>
      <c r="C1175" s="110"/>
      <c r="D1175" s="110"/>
    </row>
    <row r="1176" spans="2:4" x14ac:dyDescent="0.3">
      <c r="B1176" s="110"/>
      <c r="C1176" s="110"/>
      <c r="D1176" s="110"/>
    </row>
    <row r="1177" spans="2:4" x14ac:dyDescent="0.3">
      <c r="B1177" s="110"/>
      <c r="C1177" s="110"/>
      <c r="D1177" s="110"/>
    </row>
    <row r="1178" spans="2:4" x14ac:dyDescent="0.3">
      <c r="B1178" s="110"/>
      <c r="C1178" s="110"/>
      <c r="D1178" s="110"/>
    </row>
    <row r="1179" spans="2:4" x14ac:dyDescent="0.3">
      <c r="B1179" s="110"/>
      <c r="C1179" s="110"/>
      <c r="D1179" s="110"/>
    </row>
    <row r="1180" spans="2:4" x14ac:dyDescent="0.3">
      <c r="B1180" s="110"/>
      <c r="C1180" s="110"/>
      <c r="D1180" s="110"/>
    </row>
    <row r="1181" spans="2:4" x14ac:dyDescent="0.3">
      <c r="B1181" s="110"/>
      <c r="C1181" s="110"/>
      <c r="D1181" s="110"/>
    </row>
    <row r="1182" spans="2:4" x14ac:dyDescent="0.3">
      <c r="B1182" s="110"/>
      <c r="C1182" s="110"/>
      <c r="D1182" s="110"/>
    </row>
    <row r="1183" spans="2:4" x14ac:dyDescent="0.3">
      <c r="B1183" s="110"/>
      <c r="C1183" s="110"/>
      <c r="D1183" s="110"/>
    </row>
    <row r="1184" spans="2:4" x14ac:dyDescent="0.3">
      <c r="B1184" s="110"/>
      <c r="C1184" s="110"/>
      <c r="D1184" s="110"/>
    </row>
    <row r="1185" spans="2:4" x14ac:dyDescent="0.3">
      <c r="B1185" s="110"/>
      <c r="C1185" s="110"/>
      <c r="D1185" s="110"/>
    </row>
    <row r="1186" spans="2:4" x14ac:dyDescent="0.3">
      <c r="B1186" s="110"/>
      <c r="C1186" s="110"/>
      <c r="D1186" s="110"/>
    </row>
    <row r="1187" spans="2:4" x14ac:dyDescent="0.3">
      <c r="B1187" s="110"/>
      <c r="C1187" s="110"/>
      <c r="D1187" s="110"/>
    </row>
    <row r="1188" spans="2:4" x14ac:dyDescent="0.3">
      <c r="B1188" s="110"/>
      <c r="C1188" s="110"/>
      <c r="D1188" s="110"/>
    </row>
    <row r="1189" spans="2:4" x14ac:dyDescent="0.3">
      <c r="B1189" s="110"/>
      <c r="C1189" s="110"/>
      <c r="D1189" s="110"/>
    </row>
    <row r="1190" spans="2:4" x14ac:dyDescent="0.3">
      <c r="B1190" s="110"/>
      <c r="C1190" s="110"/>
      <c r="D1190" s="110"/>
    </row>
    <row r="1191" spans="2:4" x14ac:dyDescent="0.3">
      <c r="B1191" s="110"/>
      <c r="C1191" s="110"/>
      <c r="D1191" s="110"/>
    </row>
    <row r="1192" spans="2:4" x14ac:dyDescent="0.3">
      <c r="B1192" s="110"/>
      <c r="C1192" s="110"/>
      <c r="D1192" s="110"/>
    </row>
    <row r="1193" spans="2:4" x14ac:dyDescent="0.3">
      <c r="B1193" s="110"/>
      <c r="C1193" s="110"/>
      <c r="D1193" s="110"/>
    </row>
    <row r="1194" spans="2:4" x14ac:dyDescent="0.3">
      <c r="B1194" s="110"/>
      <c r="C1194" s="110"/>
      <c r="D1194" s="110"/>
    </row>
    <row r="1195" spans="2:4" x14ac:dyDescent="0.3">
      <c r="B1195" s="110"/>
      <c r="C1195" s="110"/>
      <c r="D1195" s="110"/>
    </row>
    <row r="1196" spans="2:4" x14ac:dyDescent="0.3">
      <c r="B1196" s="110"/>
      <c r="C1196" s="110"/>
      <c r="D1196" s="110"/>
    </row>
    <row r="1197" spans="2:4" x14ac:dyDescent="0.3">
      <c r="B1197" s="110"/>
      <c r="C1197" s="110"/>
      <c r="D1197" s="110"/>
    </row>
    <row r="1198" spans="2:4" x14ac:dyDescent="0.3">
      <c r="B1198" s="110"/>
      <c r="C1198" s="110"/>
      <c r="D1198" s="110"/>
    </row>
    <row r="1199" spans="2:4" x14ac:dyDescent="0.3">
      <c r="B1199" s="110"/>
      <c r="C1199" s="110"/>
      <c r="D1199" s="110"/>
    </row>
    <row r="1200" spans="2:4" x14ac:dyDescent="0.3">
      <c r="B1200" s="110"/>
      <c r="C1200" s="110"/>
      <c r="D1200" s="110"/>
    </row>
    <row r="1201" spans="2:4" x14ac:dyDescent="0.3">
      <c r="B1201" s="110"/>
      <c r="C1201" s="110"/>
      <c r="D1201" s="110"/>
    </row>
    <row r="1202" spans="2:4" x14ac:dyDescent="0.3">
      <c r="B1202" s="110"/>
      <c r="C1202" s="110"/>
      <c r="D1202" s="110"/>
    </row>
    <row r="1203" spans="2:4" x14ac:dyDescent="0.3">
      <c r="B1203" s="110"/>
      <c r="C1203" s="110"/>
      <c r="D1203" s="110"/>
    </row>
    <row r="1204" spans="2:4" x14ac:dyDescent="0.3">
      <c r="B1204" s="110"/>
      <c r="C1204" s="110"/>
      <c r="D1204" s="1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4FD30-4AEC-4758-B342-6D827690AA62}">
  <sheetPr codeName="Hoja1">
    <tabColor rgb="FFB3FFB3"/>
  </sheetPr>
  <dimension ref="A4:N63"/>
  <sheetViews>
    <sheetView topLeftCell="A28" zoomScale="70" zoomScaleNormal="70" workbookViewId="0">
      <selection activeCell="R57" sqref="R57"/>
    </sheetView>
  </sheetViews>
  <sheetFormatPr baseColWidth="10" defaultRowHeight="14.4" x14ac:dyDescent="0.3"/>
  <cols>
    <col min="1" max="16384" width="11.5546875" style="2"/>
  </cols>
  <sheetData>
    <row r="4" s="2" customFormat="1" x14ac:dyDescent="0.3"/>
    <row r="27" s="2" customFormat="1" x14ac:dyDescent="0.3"/>
    <row r="54" spans="1:14" ht="15" thickBot="1" x14ac:dyDescent="0.35">
      <c r="A54" s="1"/>
      <c r="B54" s="1"/>
      <c r="C54" s="1"/>
      <c r="D54" s="1"/>
      <c r="E54" s="1"/>
      <c r="F54" s="1"/>
      <c r="G54" s="80" t="s">
        <v>11</v>
      </c>
      <c r="H54" s="80" t="s">
        <v>50</v>
      </c>
      <c r="I54" s="81" t="s">
        <v>48</v>
      </c>
      <c r="J54" s="81" t="s">
        <v>49</v>
      </c>
      <c r="K54" s="1"/>
      <c r="L54" s="1"/>
      <c r="M54" s="1"/>
      <c r="N54" s="1"/>
    </row>
    <row r="55" spans="1:14" ht="15" thickBot="1" x14ac:dyDescent="0.35">
      <c r="A55" s="71"/>
      <c r="B55" s="72" t="s">
        <v>40</v>
      </c>
      <c r="C55" s="73" t="s">
        <v>10</v>
      </c>
      <c r="D55" s="74" t="s">
        <v>39</v>
      </c>
      <c r="E55" s="75" t="s">
        <v>42</v>
      </c>
      <c r="F55" s="76" t="s">
        <v>41</v>
      </c>
      <c r="G55" s="75" t="s">
        <v>43</v>
      </c>
      <c r="H55" s="76" t="s">
        <v>44</v>
      </c>
      <c r="I55" s="75" t="s">
        <v>45</v>
      </c>
      <c r="J55" s="76" t="s">
        <v>46</v>
      </c>
      <c r="K55" s="77" t="s">
        <v>47</v>
      </c>
      <c r="L55" s="77"/>
      <c r="M55" s="123" t="s">
        <v>102</v>
      </c>
      <c r="N55" s="123" t="s">
        <v>103</v>
      </c>
    </row>
    <row r="56" spans="1:14" x14ac:dyDescent="0.3">
      <c r="A56" s="78" t="s">
        <v>1</v>
      </c>
      <c r="B56" s="66"/>
      <c r="C56" s="67"/>
      <c r="D56" s="68"/>
      <c r="E56" s="69"/>
      <c r="F56" s="68"/>
      <c r="G56" s="69"/>
      <c r="H56" s="68"/>
      <c r="I56" s="69"/>
      <c r="J56" s="68"/>
      <c r="K56" s="70"/>
      <c r="L56" s="70"/>
      <c r="M56" s="124"/>
      <c r="N56" s="124"/>
    </row>
    <row r="57" spans="1:14" x14ac:dyDescent="0.3">
      <c r="A57" s="78" t="s">
        <v>2</v>
      </c>
      <c r="B57" s="62" t="s">
        <v>101</v>
      </c>
      <c r="C57" s="56">
        <f>'Carta 0'!T7</f>
        <v>6.3964700000000017</v>
      </c>
      <c r="D57" s="54">
        <f>'Carta 0'!U7</f>
        <v>4.3797618818166538E-2</v>
      </c>
      <c r="E57" s="57">
        <f>C57-D57</f>
        <v>6.3526723811818355</v>
      </c>
      <c r="F57" s="54">
        <f>C57+D57</f>
        <v>6.4402676188181678</v>
      </c>
      <c r="G57" s="57">
        <f>C57-2*D57</f>
        <v>6.3088747623636685</v>
      </c>
      <c r="H57" s="54">
        <f>C57+2*D57</f>
        <v>6.4840652376363348</v>
      </c>
      <c r="I57" s="59">
        <f>C57-3*D57</f>
        <v>6.2650771435455024</v>
      </c>
      <c r="J57" s="54">
        <f>C57+3*D57</f>
        <v>6.5278628564545009</v>
      </c>
      <c r="K57" s="64">
        <f>(D57/(SQRT(100)))*1.96</f>
        <v>8.5843332883606405E-3</v>
      </c>
      <c r="L57" s="122" t="str">
        <f>TEXT(C57,"0,00")&amp;"±"&amp;TEXT(K57,"0,00")</f>
        <v>6,40±0,01</v>
      </c>
      <c r="M57" s="125">
        <f>(J57-I57)/(6*D57)</f>
        <v>0.99999999999999745</v>
      </c>
      <c r="N57" s="125">
        <f>MIN((C57-I57)/(3*D57),(J57-C57)/(3*D57))</f>
        <v>0.99999999999999745</v>
      </c>
    </row>
    <row r="58" spans="1:14" x14ac:dyDescent="0.3">
      <c r="A58" s="78" t="s">
        <v>3</v>
      </c>
      <c r="B58" s="62" t="s">
        <v>38</v>
      </c>
      <c r="C58" s="56">
        <f>'Carta 0'!AK7</f>
        <v>25.808199999999989</v>
      </c>
      <c r="D58" s="54">
        <f>'Carta 0'!AL7</f>
        <v>7.4500084739969288E-2</v>
      </c>
      <c r="E58" s="57">
        <f t="shared" ref="E58:E59" si="0">C58-D58</f>
        <v>25.733699915260019</v>
      </c>
      <c r="F58" s="54">
        <f>C58+D58</f>
        <v>25.882700084739959</v>
      </c>
      <c r="G58" s="57">
        <f t="shared" ref="G58:G59" si="1">C58-2*D58</f>
        <v>25.659199830520048</v>
      </c>
      <c r="H58" s="54">
        <f>C58+2*D58</f>
        <v>25.957200169479929</v>
      </c>
      <c r="I58" s="59">
        <f>C58-3*D58</f>
        <v>25.584699745780082</v>
      </c>
      <c r="J58" s="54">
        <f>C58+3*D58</f>
        <v>26.031700254219896</v>
      </c>
      <c r="K58" s="64">
        <f>(D58/(SQRT(100)))*1.96</f>
        <v>1.460201660903398E-2</v>
      </c>
      <c r="L58" s="122" t="str">
        <f t="shared" ref="L58:L59" si="2">TEXT(C58,"0,00")&amp;"±"&amp;TEXT(K58,"0,00")</f>
        <v>25,81±0,01</v>
      </c>
      <c r="M58" s="125">
        <f>(J58-I58)/(6*D58)</f>
        <v>0.99999999999999578</v>
      </c>
      <c r="N58" s="125">
        <f>MIN((C58-I58)/(3*D58),(J58-C58)/(3*D58))</f>
        <v>0.99999999999999578</v>
      </c>
    </row>
    <row r="59" spans="1:14" ht="15" thickBot="1" x14ac:dyDescent="0.35">
      <c r="A59" s="79" t="s">
        <v>4</v>
      </c>
      <c r="B59" s="63" t="s">
        <v>38</v>
      </c>
      <c r="C59" s="61">
        <f>'Carta 0'!BB7</f>
        <v>25.750800000000005</v>
      </c>
      <c r="D59" s="55">
        <f>'Carta 0'!BC7</f>
        <v>5.7272695206019339E-2</v>
      </c>
      <c r="E59" s="58">
        <f t="shared" si="0"/>
        <v>25.693527304793985</v>
      </c>
      <c r="F59" s="55">
        <f>C59+D59</f>
        <v>25.808072695206025</v>
      </c>
      <c r="G59" s="58">
        <f t="shared" si="1"/>
        <v>25.636254609587965</v>
      </c>
      <c r="H59" s="55">
        <f>C59+2*D59</f>
        <v>25.865345390412045</v>
      </c>
      <c r="I59" s="60">
        <f>C59-3*D59</f>
        <v>25.578981914381949</v>
      </c>
      <c r="J59" s="55">
        <f>C59+3*D59</f>
        <v>25.922618085618062</v>
      </c>
      <c r="K59" s="65">
        <f>(D59/(SQRT(100)))*1.96</f>
        <v>1.1225448260379791E-2</v>
      </c>
      <c r="L59" s="122" t="str">
        <f t="shared" si="2"/>
        <v>25,75±0,01</v>
      </c>
      <c r="M59" s="125">
        <f>(J59-I59)/(6*D59)</f>
        <v>0.99999999999999223</v>
      </c>
      <c r="N59" s="125">
        <f>MIN((C59-I59)/(3*D59),(J59-C59)/(3*D59))</f>
        <v>0.99999999999999223</v>
      </c>
    </row>
    <row r="60" spans="1:14" x14ac:dyDescent="0.3">
      <c r="A60" s="51"/>
      <c r="B60" s="51"/>
      <c r="C60" s="52"/>
      <c r="D60" s="53"/>
      <c r="E60" s="52"/>
      <c r="F60" s="52"/>
      <c r="G60" s="52"/>
      <c r="H60" s="50"/>
      <c r="I60" s="50"/>
    </row>
    <row r="61" spans="1:14" x14ac:dyDescent="0.3">
      <c r="C61" s="50"/>
      <c r="N61" s="50"/>
    </row>
    <row r="63" spans="1:14" x14ac:dyDescent="0.3">
      <c r="D63" s="50"/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3A1A8-F31C-4D02-A02D-CADB37DCF259}">
  <sheetPr codeName="Hoja6">
    <tabColor rgb="FFFFFFE1"/>
  </sheetPr>
  <dimension ref="A1:O26"/>
  <sheetViews>
    <sheetView zoomScaleNormal="100" workbookViewId="0">
      <selection activeCell="B8" sqref="B8:G8"/>
    </sheetView>
  </sheetViews>
  <sheetFormatPr baseColWidth="10" defaultRowHeight="14.4" x14ac:dyDescent="0.3"/>
  <cols>
    <col min="1" max="16384" width="11.5546875" style="3"/>
  </cols>
  <sheetData>
    <row r="1" spans="1:15" ht="16.8" customHeight="1" x14ac:dyDescent="0.6">
      <c r="A1" s="130" t="s">
        <v>20</v>
      </c>
      <c r="B1" s="131"/>
      <c r="C1" s="132" t="s">
        <v>22</v>
      </c>
      <c r="D1" s="133"/>
      <c r="E1" s="133"/>
      <c r="F1" s="133"/>
      <c r="G1" s="133"/>
      <c r="H1" s="133"/>
      <c r="I1" s="133"/>
      <c r="J1" s="133"/>
      <c r="K1" s="133"/>
      <c r="L1" s="87"/>
      <c r="M1" s="87"/>
    </row>
    <row r="2" spans="1:15" ht="14.4" customHeight="1" x14ac:dyDescent="0.3">
      <c r="A2" s="45"/>
      <c r="B2" s="46"/>
      <c r="C2" s="134"/>
      <c r="D2" s="135"/>
      <c r="E2" s="135"/>
      <c r="F2" s="135"/>
      <c r="G2" s="135"/>
      <c r="H2" s="135"/>
      <c r="I2" s="135"/>
      <c r="J2" s="135"/>
      <c r="K2" s="135"/>
      <c r="L2" s="87"/>
      <c r="M2" s="87"/>
    </row>
    <row r="3" spans="1:15" ht="16.8" customHeight="1" x14ac:dyDescent="0.4">
      <c r="A3" s="128" t="s">
        <v>21</v>
      </c>
      <c r="B3" s="129"/>
      <c r="C3" s="126" t="s">
        <v>23</v>
      </c>
      <c r="D3" s="127"/>
      <c r="E3" s="127"/>
      <c r="F3" s="127"/>
      <c r="G3" s="127"/>
      <c r="H3" s="127"/>
      <c r="I3" s="127"/>
      <c r="J3" s="127"/>
      <c r="K3" s="127"/>
      <c r="L3" s="87"/>
      <c r="M3" s="87"/>
    </row>
    <row r="4" spans="1:15" ht="14.4" customHeight="1" x14ac:dyDescent="0.3"/>
    <row r="5" spans="1:15" ht="14.4" customHeight="1" x14ac:dyDescent="0.3">
      <c r="A5" s="47"/>
    </row>
    <row r="7" spans="1:15" ht="23.4" x14ac:dyDescent="0.3">
      <c r="B7" s="149" t="s">
        <v>59</v>
      </c>
      <c r="C7" s="149"/>
      <c r="D7" s="149"/>
      <c r="E7" s="149"/>
      <c r="F7" s="149"/>
      <c r="G7" s="149"/>
      <c r="H7" s="149" t="s">
        <v>60</v>
      </c>
      <c r="I7" s="149"/>
      <c r="J7" s="149"/>
      <c r="K7" s="149"/>
      <c r="L7" s="149"/>
      <c r="M7" s="149"/>
      <c r="N7" s="111" t="s">
        <v>61</v>
      </c>
      <c r="O7" s="111" t="s">
        <v>5</v>
      </c>
    </row>
    <row r="8" spans="1:15" ht="14.4" customHeight="1" x14ac:dyDescent="0.3">
      <c r="B8" s="150"/>
      <c r="C8" s="151"/>
      <c r="D8" s="151"/>
      <c r="E8" s="151"/>
      <c r="F8" s="151"/>
      <c r="G8" s="152"/>
      <c r="H8" s="150"/>
      <c r="I8" s="151"/>
      <c r="J8" s="151"/>
      <c r="K8" s="151"/>
      <c r="L8" s="151"/>
      <c r="M8" s="152"/>
      <c r="N8" s="112"/>
      <c r="O8" s="112"/>
    </row>
    <row r="9" spans="1:15" ht="14.4" customHeight="1" x14ac:dyDescent="0.3">
      <c r="B9" s="153"/>
      <c r="C9" s="154"/>
      <c r="D9" s="154"/>
      <c r="E9" s="154"/>
      <c r="F9" s="154"/>
      <c r="G9" s="155"/>
      <c r="H9" s="153"/>
      <c r="I9" s="154"/>
      <c r="J9" s="154"/>
      <c r="K9" s="154"/>
      <c r="L9" s="154"/>
      <c r="M9" s="155"/>
      <c r="N9" s="113"/>
      <c r="O9" s="113"/>
    </row>
    <row r="10" spans="1:15" ht="14.4" customHeight="1" x14ac:dyDescent="0.3">
      <c r="B10" s="153"/>
      <c r="C10" s="154"/>
      <c r="D10" s="154"/>
      <c r="E10" s="154"/>
      <c r="F10" s="154"/>
      <c r="G10" s="155"/>
      <c r="H10" s="153"/>
      <c r="I10" s="154"/>
      <c r="J10" s="154"/>
      <c r="K10" s="154"/>
      <c r="L10" s="154"/>
      <c r="M10" s="155"/>
      <c r="N10" s="113"/>
      <c r="O10" s="113"/>
    </row>
    <row r="11" spans="1:15" ht="14.4" customHeight="1" x14ac:dyDescent="0.6">
      <c r="A11" s="48"/>
      <c r="B11" s="153"/>
      <c r="C11" s="154"/>
      <c r="D11" s="154"/>
      <c r="E11" s="154"/>
      <c r="F11" s="154"/>
      <c r="G11" s="155"/>
      <c r="H11" s="153"/>
      <c r="I11" s="154"/>
      <c r="J11" s="154"/>
      <c r="K11" s="154"/>
      <c r="L11" s="154"/>
      <c r="M11" s="155"/>
      <c r="N11" s="113"/>
      <c r="O11" s="113"/>
    </row>
    <row r="12" spans="1:15" ht="14.4" customHeight="1" x14ac:dyDescent="0.3">
      <c r="B12" s="153"/>
      <c r="C12" s="154"/>
      <c r="D12" s="154"/>
      <c r="E12" s="154"/>
      <c r="F12" s="154"/>
      <c r="G12" s="155"/>
      <c r="H12" s="153"/>
      <c r="I12" s="154"/>
      <c r="J12" s="154"/>
      <c r="K12" s="154"/>
      <c r="L12" s="154"/>
      <c r="M12" s="155"/>
      <c r="N12" s="113"/>
      <c r="O12" s="113"/>
    </row>
    <row r="13" spans="1:15" ht="14.4" customHeight="1" x14ac:dyDescent="0.3">
      <c r="B13" s="153"/>
      <c r="C13" s="154"/>
      <c r="D13" s="154"/>
      <c r="E13" s="154"/>
      <c r="F13" s="154"/>
      <c r="G13" s="155"/>
      <c r="H13" s="153"/>
      <c r="I13" s="154"/>
      <c r="J13" s="154"/>
      <c r="K13" s="154"/>
      <c r="L13" s="154"/>
      <c r="M13" s="155"/>
      <c r="N13" s="113"/>
      <c r="O13" s="113"/>
    </row>
    <row r="14" spans="1:15" ht="14.4" customHeight="1" x14ac:dyDescent="0.3">
      <c r="B14" s="153"/>
      <c r="C14" s="154"/>
      <c r="D14" s="154"/>
      <c r="E14" s="154"/>
      <c r="F14" s="154"/>
      <c r="G14" s="155"/>
      <c r="H14" s="153"/>
      <c r="I14" s="154"/>
      <c r="J14" s="154"/>
      <c r="K14" s="154"/>
      <c r="L14" s="154"/>
      <c r="M14" s="155"/>
      <c r="N14" s="113"/>
      <c r="O14" s="113"/>
    </row>
    <row r="15" spans="1:15" ht="14.4" customHeight="1" x14ac:dyDescent="0.6">
      <c r="A15" s="48"/>
      <c r="B15" s="153"/>
      <c r="C15" s="154"/>
      <c r="D15" s="154"/>
      <c r="E15" s="154"/>
      <c r="F15" s="154"/>
      <c r="G15" s="155"/>
      <c r="H15" s="153"/>
      <c r="I15" s="154"/>
      <c r="J15" s="154"/>
      <c r="K15" s="154"/>
      <c r="L15" s="154"/>
      <c r="M15" s="155"/>
      <c r="N15" s="113"/>
      <c r="O15" s="113"/>
    </row>
    <row r="16" spans="1:15" ht="14.4" customHeight="1" x14ac:dyDescent="0.3">
      <c r="B16" s="153"/>
      <c r="C16" s="154"/>
      <c r="D16" s="154"/>
      <c r="E16" s="154"/>
      <c r="F16" s="154"/>
      <c r="G16" s="155"/>
      <c r="H16" s="153"/>
      <c r="I16" s="154"/>
      <c r="J16" s="154"/>
      <c r="K16" s="154"/>
      <c r="L16" s="154"/>
      <c r="M16" s="155"/>
      <c r="N16" s="113"/>
      <c r="O16" s="113"/>
    </row>
    <row r="17" spans="1:15" ht="14.4" customHeight="1" x14ac:dyDescent="0.3">
      <c r="B17" s="153"/>
      <c r="C17" s="154"/>
      <c r="D17" s="154"/>
      <c r="E17" s="154"/>
      <c r="F17" s="154"/>
      <c r="G17" s="155"/>
      <c r="H17" s="153"/>
      <c r="I17" s="154"/>
      <c r="J17" s="154"/>
      <c r="K17" s="154"/>
      <c r="L17" s="154"/>
      <c r="M17" s="155"/>
      <c r="N17" s="113"/>
      <c r="O17" s="113"/>
    </row>
    <row r="18" spans="1:15" ht="14.4" customHeight="1" x14ac:dyDescent="0.6">
      <c r="A18" s="48"/>
      <c r="B18" s="153"/>
      <c r="C18" s="154"/>
      <c r="D18" s="154"/>
      <c r="E18" s="154"/>
      <c r="F18" s="154"/>
      <c r="G18" s="155"/>
      <c r="H18" s="153"/>
      <c r="I18" s="154"/>
      <c r="J18" s="154"/>
      <c r="K18" s="154"/>
      <c r="L18" s="154"/>
      <c r="M18" s="155"/>
      <c r="N18" s="113"/>
      <c r="O18" s="113"/>
    </row>
    <row r="19" spans="1:15" ht="14.4" customHeight="1" x14ac:dyDescent="0.3">
      <c r="B19" s="153"/>
      <c r="C19" s="154"/>
      <c r="D19" s="154"/>
      <c r="E19" s="154"/>
      <c r="F19" s="154"/>
      <c r="G19" s="155"/>
      <c r="H19" s="153"/>
      <c r="I19" s="154"/>
      <c r="J19" s="154"/>
      <c r="K19" s="154"/>
      <c r="L19" s="154"/>
      <c r="M19" s="155"/>
      <c r="N19" s="113"/>
      <c r="O19" s="113"/>
    </row>
    <row r="20" spans="1:15" ht="14.4" customHeight="1" x14ac:dyDescent="0.3">
      <c r="B20" s="153"/>
      <c r="C20" s="154"/>
      <c r="D20" s="154"/>
      <c r="E20" s="154"/>
      <c r="F20" s="154"/>
      <c r="G20" s="155"/>
      <c r="H20" s="153"/>
      <c r="I20" s="154"/>
      <c r="J20" s="154"/>
      <c r="K20" s="154"/>
      <c r="L20" s="154"/>
      <c r="M20" s="155"/>
      <c r="N20" s="113"/>
      <c r="O20" s="113"/>
    </row>
    <row r="21" spans="1:15" ht="14.4" customHeight="1" x14ac:dyDescent="0.6">
      <c r="A21" s="48"/>
      <c r="B21" s="153"/>
      <c r="C21" s="154"/>
      <c r="D21" s="154"/>
      <c r="E21" s="154"/>
      <c r="F21" s="154"/>
      <c r="G21" s="155"/>
      <c r="H21" s="153"/>
      <c r="I21" s="154"/>
      <c r="J21" s="154"/>
      <c r="K21" s="154"/>
      <c r="L21" s="154"/>
      <c r="M21" s="155"/>
      <c r="N21" s="113"/>
      <c r="O21" s="113"/>
    </row>
    <row r="22" spans="1:15" ht="14.4" customHeight="1" x14ac:dyDescent="0.3">
      <c r="B22" s="156"/>
      <c r="C22" s="157"/>
      <c r="D22" s="157"/>
      <c r="E22" s="157"/>
      <c r="F22" s="157"/>
      <c r="G22" s="158"/>
      <c r="H22" s="156"/>
      <c r="I22" s="157"/>
      <c r="J22" s="157"/>
      <c r="K22" s="157"/>
      <c r="L22" s="157"/>
      <c r="M22" s="158"/>
      <c r="N22" s="114"/>
      <c r="O22" s="114"/>
    </row>
    <row r="23" spans="1:15" ht="14.4" customHeight="1" x14ac:dyDescent="0.6">
      <c r="A23" s="48"/>
    </row>
    <row r="24" spans="1:15" ht="14.4" customHeight="1" x14ac:dyDescent="0.3"/>
    <row r="25" spans="1:15" ht="14.4" customHeight="1" x14ac:dyDescent="0.3"/>
    <row r="26" spans="1:15" ht="14.4" customHeight="1" x14ac:dyDescent="0.3"/>
  </sheetData>
  <mergeCells count="36">
    <mergeCell ref="B20:G20"/>
    <mergeCell ref="H20:M20"/>
    <mergeCell ref="B21:G21"/>
    <mergeCell ref="H21:M21"/>
    <mergeCell ref="B22:G22"/>
    <mergeCell ref="H22:M22"/>
    <mergeCell ref="B17:G17"/>
    <mergeCell ref="H17:M17"/>
    <mergeCell ref="B18:G18"/>
    <mergeCell ref="H18:M18"/>
    <mergeCell ref="B19:G19"/>
    <mergeCell ref="H19:M19"/>
    <mergeCell ref="B14:G14"/>
    <mergeCell ref="H14:M14"/>
    <mergeCell ref="B15:G15"/>
    <mergeCell ref="H15:M15"/>
    <mergeCell ref="B16:G16"/>
    <mergeCell ref="H16:M16"/>
    <mergeCell ref="B11:G11"/>
    <mergeCell ref="H11:M11"/>
    <mergeCell ref="B12:G12"/>
    <mergeCell ref="H12:M12"/>
    <mergeCell ref="B13:G13"/>
    <mergeCell ref="H13:M13"/>
    <mergeCell ref="B8:G8"/>
    <mergeCell ref="H8:M8"/>
    <mergeCell ref="B9:G9"/>
    <mergeCell ref="H9:M9"/>
    <mergeCell ref="B10:G10"/>
    <mergeCell ref="H10:M10"/>
    <mergeCell ref="A1:B1"/>
    <mergeCell ref="C1:K2"/>
    <mergeCell ref="A3:B3"/>
    <mergeCell ref="C3:K3"/>
    <mergeCell ref="B7:G7"/>
    <mergeCell ref="H7:M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7A40-5DF6-408D-8C34-75D4B287DDA2}">
  <sheetPr codeName="Hoja5">
    <tabColor rgb="FF6699FF"/>
  </sheetPr>
  <dimension ref="A1:BU212"/>
  <sheetViews>
    <sheetView topLeftCell="H148" zoomScale="70" zoomScaleNormal="70" workbookViewId="0">
      <selection activeCell="P92" sqref="P92"/>
    </sheetView>
  </sheetViews>
  <sheetFormatPr baseColWidth="10" defaultRowHeight="14.4" x14ac:dyDescent="0.3"/>
  <cols>
    <col min="1" max="16384" width="11.5546875" style="17"/>
  </cols>
  <sheetData>
    <row r="1" spans="1:73" x14ac:dyDescent="0.3">
      <c r="A1" s="37" t="s">
        <v>7</v>
      </c>
      <c r="B1" s="38" t="s">
        <v>6</v>
      </c>
      <c r="C1" s="37"/>
      <c r="D1" s="39"/>
      <c r="E1" s="37"/>
      <c r="F1" s="39"/>
      <c r="G1" s="39"/>
      <c r="H1" s="37"/>
      <c r="I1" s="37"/>
    </row>
    <row r="2" spans="1:73" x14ac:dyDescent="0.3">
      <c r="A2" s="37"/>
      <c r="B2" s="39"/>
      <c r="C2" s="37"/>
      <c r="D2" s="39"/>
      <c r="E2" s="37"/>
      <c r="F2" s="39"/>
      <c r="G2" s="39"/>
      <c r="H2" s="37"/>
      <c r="I2" s="37"/>
    </row>
    <row r="3" spans="1:73" x14ac:dyDescent="0.3">
      <c r="A3" s="37"/>
      <c r="B3" s="39"/>
      <c r="C3" s="37"/>
      <c r="D3" s="39"/>
      <c r="E3" s="37"/>
      <c r="F3" s="39"/>
      <c r="G3" s="37"/>
      <c r="H3" s="37"/>
      <c r="I3" s="37"/>
    </row>
    <row r="4" spans="1:73" x14ac:dyDescent="0.3">
      <c r="A4" s="37"/>
      <c r="B4" s="37"/>
      <c r="C4" s="37"/>
      <c r="D4" s="37"/>
      <c r="E4" s="37"/>
      <c r="F4" s="37"/>
      <c r="G4" s="37"/>
      <c r="H4" s="37"/>
      <c r="I4" s="37"/>
    </row>
    <row r="5" spans="1:73" x14ac:dyDescent="0.3">
      <c r="A5" s="37"/>
      <c r="B5" s="37"/>
      <c r="C5" s="159" t="s">
        <v>16</v>
      </c>
      <c r="D5" s="159"/>
      <c r="E5" s="159"/>
      <c r="F5" s="159"/>
      <c r="G5" s="159"/>
      <c r="H5" s="159"/>
      <c r="I5" s="159"/>
      <c r="J5" s="159"/>
      <c r="S5" s="17" t="s">
        <v>100</v>
      </c>
      <c r="AJ5" s="17" t="s">
        <v>38</v>
      </c>
      <c r="BA5" s="17" t="s">
        <v>38</v>
      </c>
      <c r="BQ5" s="23"/>
      <c r="BR5" s="23" t="s">
        <v>32</v>
      </c>
      <c r="BS5" s="23"/>
      <c r="BT5" s="23"/>
      <c r="BU5" s="23"/>
    </row>
    <row r="6" spans="1:73" x14ac:dyDescent="0.3">
      <c r="A6" s="13" t="s">
        <v>0</v>
      </c>
      <c r="B6" s="25" t="s">
        <v>1</v>
      </c>
      <c r="C6" s="26" t="s">
        <v>10</v>
      </c>
      <c r="D6" s="26" t="s">
        <v>13</v>
      </c>
      <c r="E6" s="26" t="s">
        <v>8</v>
      </c>
      <c r="F6" s="26" t="s">
        <v>11</v>
      </c>
      <c r="G6" s="26" t="s">
        <v>9</v>
      </c>
      <c r="H6" s="26" t="s">
        <v>12</v>
      </c>
      <c r="I6" s="26" t="s">
        <v>14</v>
      </c>
      <c r="J6" s="26" t="s">
        <v>15</v>
      </c>
      <c r="K6" s="26" t="s">
        <v>17</v>
      </c>
      <c r="L6" s="26" t="s">
        <v>10</v>
      </c>
      <c r="M6" s="26" t="s">
        <v>18</v>
      </c>
      <c r="N6" s="26" t="s">
        <v>19</v>
      </c>
      <c r="R6" s="13" t="s">
        <v>0</v>
      </c>
      <c r="S6" s="25" t="s">
        <v>2</v>
      </c>
      <c r="T6" s="26" t="s">
        <v>10</v>
      </c>
      <c r="U6" s="26" t="s">
        <v>13</v>
      </c>
      <c r="V6" s="26" t="s">
        <v>8</v>
      </c>
      <c r="W6" s="26" t="s">
        <v>11</v>
      </c>
      <c r="X6" s="26" t="s">
        <v>9</v>
      </c>
      <c r="Y6" s="26" t="s">
        <v>12</v>
      </c>
      <c r="Z6" s="26" t="s">
        <v>14</v>
      </c>
      <c r="AA6" s="26" t="s">
        <v>15</v>
      </c>
      <c r="AB6" s="26" t="s">
        <v>17</v>
      </c>
      <c r="AC6" s="26" t="s">
        <v>10</v>
      </c>
      <c r="AD6" s="26" t="s">
        <v>18</v>
      </c>
      <c r="AE6" s="26" t="s">
        <v>19</v>
      </c>
      <c r="AI6" s="13" t="s">
        <v>0</v>
      </c>
      <c r="AJ6" s="25" t="s">
        <v>3</v>
      </c>
      <c r="AK6" s="26" t="s">
        <v>10</v>
      </c>
      <c r="AL6" s="26" t="s">
        <v>13</v>
      </c>
      <c r="AM6" s="26" t="s">
        <v>8</v>
      </c>
      <c r="AN6" s="26" t="s">
        <v>11</v>
      </c>
      <c r="AO6" s="26" t="s">
        <v>9</v>
      </c>
      <c r="AP6" s="26" t="s">
        <v>12</v>
      </c>
      <c r="AQ6" s="26" t="s">
        <v>14</v>
      </c>
      <c r="AR6" s="26" t="s">
        <v>15</v>
      </c>
      <c r="AS6" s="26" t="s">
        <v>17</v>
      </c>
      <c r="AT6" s="26" t="s">
        <v>10</v>
      </c>
      <c r="AU6" s="26" t="s">
        <v>18</v>
      </c>
      <c r="AV6" s="26" t="s">
        <v>19</v>
      </c>
      <c r="AZ6" s="13" t="s">
        <v>0</v>
      </c>
      <c r="BA6" s="25" t="s">
        <v>4</v>
      </c>
      <c r="BB6" s="26" t="s">
        <v>10</v>
      </c>
      <c r="BC6" s="26" t="s">
        <v>13</v>
      </c>
      <c r="BD6" s="26" t="s">
        <v>8</v>
      </c>
      <c r="BE6" s="26" t="s">
        <v>11</v>
      </c>
      <c r="BF6" s="26" t="s">
        <v>9</v>
      </c>
      <c r="BG6" s="26" t="s">
        <v>12</v>
      </c>
      <c r="BH6" s="26" t="s">
        <v>14</v>
      </c>
      <c r="BI6" s="26" t="s">
        <v>15</v>
      </c>
      <c r="BJ6" s="26" t="s">
        <v>17</v>
      </c>
      <c r="BK6" s="26" t="s">
        <v>10</v>
      </c>
      <c r="BL6" s="26" t="s">
        <v>18</v>
      </c>
      <c r="BM6" s="26" t="s">
        <v>19</v>
      </c>
      <c r="BQ6" s="24" t="s">
        <v>0</v>
      </c>
      <c r="BR6" s="24" t="s">
        <v>1</v>
      </c>
      <c r="BS6" s="24" t="s">
        <v>2</v>
      </c>
      <c r="BT6" s="24" t="s">
        <v>3</v>
      </c>
      <c r="BU6" s="24" t="s">
        <v>4</v>
      </c>
    </row>
    <row r="7" spans="1:73" x14ac:dyDescent="0.3">
      <c r="A7" s="14">
        <v>0</v>
      </c>
      <c r="B7" s="27"/>
      <c r="C7" s="28" t="e">
        <f>AVERAGE(B8:B37)</f>
        <v>#DIV/0!</v>
      </c>
      <c r="D7" s="28" t="e">
        <f>STDEV(B8:B37)</f>
        <v>#DIV/0!</v>
      </c>
      <c r="E7" s="28" t="e">
        <f>C7+3*D7</f>
        <v>#DIV/0!</v>
      </c>
      <c r="F7" s="28" t="e">
        <f>C7-3*D7</f>
        <v>#DIV/0!</v>
      </c>
      <c r="G7" s="28" t="e">
        <f>C7+2*D7</f>
        <v>#DIV/0!</v>
      </c>
      <c r="H7" s="28" t="e">
        <f>C7-2*D7</f>
        <v>#DIV/0!</v>
      </c>
      <c r="I7" s="28" t="e">
        <f>C7+D7</f>
        <v>#DIV/0!</v>
      </c>
      <c r="J7" s="28" t="e">
        <f>C7-D7</f>
        <v>#DIV/0!</v>
      </c>
      <c r="K7" s="29"/>
      <c r="L7" s="30">
        <f>L8</f>
        <v>0</v>
      </c>
      <c r="M7" s="30">
        <f>M8</f>
        <v>0</v>
      </c>
      <c r="N7" s="30">
        <f>N8</f>
        <v>0</v>
      </c>
      <c r="R7" s="14">
        <v>0</v>
      </c>
      <c r="S7" s="27"/>
      <c r="T7" s="28">
        <f>AVERAGE(S8:S107)</f>
        <v>6.3964700000000017</v>
      </c>
      <c r="U7" s="28">
        <f>STDEV(S8:S107)</f>
        <v>4.3797618818166538E-2</v>
      </c>
      <c r="V7" s="28">
        <f>T7+3*U7</f>
        <v>6.5278628564545009</v>
      </c>
      <c r="W7" s="28">
        <f>T7-3*U7</f>
        <v>6.2650771435455024</v>
      </c>
      <c r="X7" s="28">
        <f>T7+2*U7</f>
        <v>6.4840652376363348</v>
      </c>
      <c r="Y7" s="28">
        <f>T7-2*U7</f>
        <v>6.3088747623636685</v>
      </c>
      <c r="Z7" s="28">
        <f>T7+U7</f>
        <v>6.4402676188181678</v>
      </c>
      <c r="AA7" s="28">
        <f>T7-U7</f>
        <v>6.3526723811818355</v>
      </c>
      <c r="AB7" s="29"/>
      <c r="AC7" s="30">
        <f t="shared" ref="AC7:AD7" si="0">AC8</f>
        <v>4.2444444444444479E-2</v>
      </c>
      <c r="AD7" s="30">
        <f t="shared" si="0"/>
        <v>0</v>
      </c>
      <c r="AE7" s="30">
        <f>AE8</f>
        <v>0.13873391111111122</v>
      </c>
      <c r="AI7" s="14">
        <v>0</v>
      </c>
      <c r="AJ7" s="27"/>
      <c r="AK7" s="28">
        <f>AVERAGE(AJ8:AJ107)</f>
        <v>25.808199999999989</v>
      </c>
      <c r="AL7" s="28">
        <f>STDEV(AJ8:AJ107)</f>
        <v>7.4500084739969288E-2</v>
      </c>
      <c r="AM7" s="28">
        <f>AK7+3*AL7</f>
        <v>26.031700254219896</v>
      </c>
      <c r="AN7" s="28">
        <f>AK7-3*AL7</f>
        <v>25.584699745780082</v>
      </c>
      <c r="AO7" s="28">
        <f>AK7+2*AL7</f>
        <v>25.957200169479929</v>
      </c>
      <c r="AP7" s="28">
        <f>AK7-2*AL7</f>
        <v>25.659199830520048</v>
      </c>
      <c r="AQ7" s="28">
        <f>AK7+AL7</f>
        <v>25.882700084739959</v>
      </c>
      <c r="AR7" s="28">
        <f>AK7-AL7</f>
        <v>25.733699915260019</v>
      </c>
      <c r="AS7" s="29"/>
      <c r="AT7" s="30">
        <f>AT8</f>
        <v>6.6666666666666249E-2</v>
      </c>
      <c r="AU7" s="30">
        <f t="shared" ref="AU7:AV7" si="1">AU8</f>
        <v>0</v>
      </c>
      <c r="AV7" s="30">
        <f t="shared" si="1"/>
        <v>0.21790666666666531</v>
      </c>
      <c r="AZ7" s="14">
        <v>0</v>
      </c>
      <c r="BA7" s="27"/>
      <c r="BB7" s="28">
        <f>AVERAGE(BA8:BA107)</f>
        <v>25.750800000000005</v>
      </c>
      <c r="BC7" s="28">
        <f>STDEV(BA8:BA107)</f>
        <v>5.7272695206019339E-2</v>
      </c>
      <c r="BD7" s="28">
        <f>BB7+3*BC7</f>
        <v>25.922618085618062</v>
      </c>
      <c r="BE7" s="28">
        <f>BB7-3*BC7</f>
        <v>25.578981914381949</v>
      </c>
      <c r="BF7" s="28">
        <f>BB7+2*BC7</f>
        <v>25.865345390412045</v>
      </c>
      <c r="BG7" s="28">
        <f>BB7-2*BC7</f>
        <v>25.636254609587965</v>
      </c>
      <c r="BH7" s="28">
        <f>BB7+BC7</f>
        <v>25.808072695206025</v>
      </c>
      <c r="BI7" s="28">
        <f>BB7-BC7</f>
        <v>25.693527304793985</v>
      </c>
      <c r="BJ7" s="29"/>
      <c r="BK7" s="30">
        <f>BK8</f>
        <v>3.6565656565656614E-2</v>
      </c>
      <c r="BL7" s="30">
        <f t="shared" ref="BL7:BM7" si="2">BL8</f>
        <v>0</v>
      </c>
      <c r="BM7" s="30">
        <f t="shared" si="2"/>
        <v>0.11951850505050521</v>
      </c>
      <c r="BQ7" s="18">
        <v>0</v>
      </c>
      <c r="BR7" s="120"/>
      <c r="BS7" s="120"/>
      <c r="BT7" s="120"/>
      <c r="BU7" s="19"/>
    </row>
    <row r="8" spans="1:73" x14ac:dyDescent="0.3">
      <c r="A8" s="15">
        <v>1</v>
      </c>
      <c r="B8" s="31"/>
      <c r="C8" s="32" t="e">
        <f>$C$7</f>
        <v>#DIV/0!</v>
      </c>
      <c r="D8" s="32" t="e">
        <f>$D$7</f>
        <v>#DIV/0!</v>
      </c>
      <c r="E8" s="32" t="e">
        <f>$E$7</f>
        <v>#DIV/0!</v>
      </c>
      <c r="F8" s="32" t="e">
        <f>$F$7</f>
        <v>#DIV/0!</v>
      </c>
      <c r="G8" s="32" t="e">
        <f>$G$7</f>
        <v>#DIV/0!</v>
      </c>
      <c r="H8" s="32" t="e">
        <f>$H$7</f>
        <v>#DIV/0!</v>
      </c>
      <c r="I8" s="32" t="e">
        <f>$I$7</f>
        <v>#DIV/0!</v>
      </c>
      <c r="J8" s="32" t="e">
        <f>$J$7</f>
        <v>#DIV/0!</v>
      </c>
      <c r="K8" s="33"/>
      <c r="L8" s="34">
        <f>AVERAGE(K9:K37)</f>
        <v>0</v>
      </c>
      <c r="M8" s="33">
        <f>0*L8</f>
        <v>0</v>
      </c>
      <c r="N8" s="34">
        <f>3.2686*L8</f>
        <v>0</v>
      </c>
      <c r="R8" s="15">
        <v>1</v>
      </c>
      <c r="S8" s="86">
        <v>6.4379999999999997</v>
      </c>
      <c r="T8" s="32">
        <f>$T$7</f>
        <v>6.3964700000000017</v>
      </c>
      <c r="U8" s="32">
        <f>$U$7</f>
        <v>4.3797618818166538E-2</v>
      </c>
      <c r="V8" s="32">
        <f>$V$7</f>
        <v>6.5278628564545009</v>
      </c>
      <c r="W8" s="32">
        <f>$W$7</f>
        <v>6.2650771435455024</v>
      </c>
      <c r="X8" s="32">
        <f>$X$7</f>
        <v>6.4840652376363348</v>
      </c>
      <c r="Y8" s="32">
        <f>$Y$7</f>
        <v>6.3088747623636685</v>
      </c>
      <c r="Z8" s="32">
        <f>$Z$7</f>
        <v>6.4402676188181678</v>
      </c>
      <c r="AA8" s="32">
        <f>$AA$7</f>
        <v>6.3526723811818355</v>
      </c>
      <c r="AB8" s="33"/>
      <c r="AC8" s="34">
        <f>AVERAGE(AB9:AB107)</f>
        <v>4.2444444444444479E-2</v>
      </c>
      <c r="AD8" s="33">
        <f>0*AC8</f>
        <v>0</v>
      </c>
      <c r="AE8" s="34">
        <f>3.2686*AC8</f>
        <v>0.13873391111111122</v>
      </c>
      <c r="AI8" s="15">
        <v>1</v>
      </c>
      <c r="AJ8" s="31">
        <v>25.77</v>
      </c>
      <c r="AK8" s="32">
        <f>$AK$7</f>
        <v>25.808199999999989</v>
      </c>
      <c r="AL8" s="32">
        <f>$AL$7</f>
        <v>7.4500084739969288E-2</v>
      </c>
      <c r="AM8" s="32">
        <f>$AM$7</f>
        <v>26.031700254219896</v>
      </c>
      <c r="AN8" s="32">
        <f>$AN$7</f>
        <v>25.584699745780082</v>
      </c>
      <c r="AO8" s="32">
        <f>$AO$7</f>
        <v>25.957200169479929</v>
      </c>
      <c r="AP8" s="32">
        <f>$AP$7</f>
        <v>25.659199830520048</v>
      </c>
      <c r="AQ8" s="32">
        <f>$AQ$7</f>
        <v>25.882700084739959</v>
      </c>
      <c r="AR8" s="32">
        <f>$AR$7</f>
        <v>25.733699915260019</v>
      </c>
      <c r="AS8" s="33"/>
      <c r="AT8" s="34">
        <f>AVERAGE(AS9:AS107)</f>
        <v>6.6666666666666249E-2</v>
      </c>
      <c r="AU8" s="33">
        <f>0*AT8</f>
        <v>0</v>
      </c>
      <c r="AV8" s="34">
        <f>3.2686*AT8</f>
        <v>0.21790666666666531</v>
      </c>
      <c r="AZ8" s="15">
        <v>1</v>
      </c>
      <c r="BA8" s="35">
        <v>25.65</v>
      </c>
      <c r="BB8" s="32">
        <f>$BB$7</f>
        <v>25.750800000000005</v>
      </c>
      <c r="BC8" s="32">
        <f>$BC$7</f>
        <v>5.7272695206019339E-2</v>
      </c>
      <c r="BD8" s="32">
        <f>$BD$7</f>
        <v>25.922618085618062</v>
      </c>
      <c r="BE8" s="32">
        <f>$BE$7</f>
        <v>25.578981914381949</v>
      </c>
      <c r="BF8" s="32">
        <f>$BF$7</f>
        <v>25.865345390412045</v>
      </c>
      <c r="BG8" s="32">
        <f>$BG$7</f>
        <v>25.636254609587965</v>
      </c>
      <c r="BH8" s="32">
        <f>$BH$7</f>
        <v>25.808072695206025</v>
      </c>
      <c r="BI8" s="32">
        <f t="shared" ref="BI8" si="3">BI7</f>
        <v>25.693527304793985</v>
      </c>
      <c r="BJ8" s="33"/>
      <c r="BK8" s="34">
        <f>AVERAGE(BJ9:BJ107)</f>
        <v>3.6565656565656614E-2</v>
      </c>
      <c r="BL8" s="33">
        <f>BK8*0</f>
        <v>0</v>
      </c>
      <c r="BM8" s="34">
        <f>3.2686*BK8</f>
        <v>0.11951850505050521</v>
      </c>
      <c r="BQ8" s="20">
        <v>1</v>
      </c>
      <c r="BR8" s="121" t="str">
        <f>IF(ISBLANK(Datos!B3),"",(ABS(Datos!B2-Datos!B3)))</f>
        <v/>
      </c>
      <c r="BS8" s="121" t="str">
        <f>IF(ISBLANK(Datos!C3),"",(ABS(Datos!C2-Datos!C3)))</f>
        <v/>
      </c>
      <c r="BT8" s="121" t="str">
        <f>IF(ISBLANK(Datos!D3),"",(ABS(Datos!D2-Datos!D3)))</f>
        <v/>
      </c>
      <c r="BU8" s="21" t="str">
        <f>IF(ISBLANK(Datos!E3),"",(ABS(Datos!E2-Datos!E3)))</f>
        <v/>
      </c>
    </row>
    <row r="9" spans="1:73" x14ac:dyDescent="0.3">
      <c r="A9" s="16">
        <v>2</v>
      </c>
      <c r="B9" s="35"/>
      <c r="C9" s="32" t="e">
        <f t="shared" ref="C9:C72" si="4">$C$7</f>
        <v>#DIV/0!</v>
      </c>
      <c r="D9" s="32" t="e">
        <f t="shared" ref="D9:D72" si="5">$D$7</f>
        <v>#DIV/0!</v>
      </c>
      <c r="E9" s="32" t="e">
        <f t="shared" ref="E9:E72" si="6">$E$7</f>
        <v>#DIV/0!</v>
      </c>
      <c r="F9" s="32" t="e">
        <f t="shared" ref="F9:F72" si="7">$F$7</f>
        <v>#DIV/0!</v>
      </c>
      <c r="G9" s="32" t="e">
        <f t="shared" ref="G9:G72" si="8">$G$7</f>
        <v>#DIV/0!</v>
      </c>
      <c r="H9" s="32" t="e">
        <f t="shared" ref="H9:H72" si="9">$H$7</f>
        <v>#DIV/0!</v>
      </c>
      <c r="I9" s="32" t="e">
        <f t="shared" ref="I9:I72" si="10">$I$7</f>
        <v>#DIV/0!</v>
      </c>
      <c r="J9" s="32" t="e">
        <f t="shared" ref="J9:J72" si="11">$J$7</f>
        <v>#DIV/0!</v>
      </c>
      <c r="K9" s="33">
        <f>ABS(B8-B9)</f>
        <v>0</v>
      </c>
      <c r="L9" s="34">
        <f>$L$8</f>
        <v>0</v>
      </c>
      <c r="M9" s="33">
        <f>$M$8</f>
        <v>0</v>
      </c>
      <c r="N9" s="34">
        <f>$N$8</f>
        <v>0</v>
      </c>
      <c r="R9" s="16">
        <v>2</v>
      </c>
      <c r="S9" s="49">
        <v>6.4029999999999996</v>
      </c>
      <c r="T9" s="32">
        <f t="shared" ref="T9:T72" si="12">$T$7</f>
        <v>6.3964700000000017</v>
      </c>
      <c r="U9" s="32">
        <f t="shared" ref="U9:U72" si="13">$U$7</f>
        <v>4.3797618818166538E-2</v>
      </c>
      <c r="V9" s="32">
        <f t="shared" ref="V9:V72" si="14">$V$7</f>
        <v>6.5278628564545009</v>
      </c>
      <c r="W9" s="32">
        <f t="shared" ref="W9:W72" si="15">$W$7</f>
        <v>6.2650771435455024</v>
      </c>
      <c r="X9" s="32">
        <f t="shared" ref="X9:X72" si="16">$X$7</f>
        <v>6.4840652376363348</v>
      </c>
      <c r="Y9" s="32">
        <f t="shared" ref="Y9:Y72" si="17">$Y$7</f>
        <v>6.3088747623636685</v>
      </c>
      <c r="Z9" s="32">
        <f t="shared" ref="Z9:Z72" si="18">$Z$7</f>
        <v>6.4402676188181678</v>
      </c>
      <c r="AA9" s="32">
        <f t="shared" ref="AA9:AA72" si="19">$AA$7</f>
        <v>6.3526723811818355</v>
      </c>
      <c r="AB9" s="33">
        <f>ABS(S8-S9)</f>
        <v>3.5000000000000142E-2</v>
      </c>
      <c r="AC9" s="34">
        <f>$AC$8</f>
        <v>4.2444444444444479E-2</v>
      </c>
      <c r="AD9" s="33">
        <f>$AD$8</f>
        <v>0</v>
      </c>
      <c r="AE9" s="34">
        <f>$AE$8</f>
        <v>0.13873391111111122</v>
      </c>
      <c r="AI9" s="16">
        <v>2</v>
      </c>
      <c r="AJ9" s="35">
        <v>25.69</v>
      </c>
      <c r="AK9" s="32">
        <f t="shared" ref="AK9:AK72" si="20">$AK$7</f>
        <v>25.808199999999989</v>
      </c>
      <c r="AL9" s="32">
        <f t="shared" ref="AL9:AL72" si="21">$AL$7</f>
        <v>7.4500084739969288E-2</v>
      </c>
      <c r="AM9" s="32">
        <f t="shared" ref="AM9:AM72" si="22">$AM$7</f>
        <v>26.031700254219896</v>
      </c>
      <c r="AN9" s="32">
        <f t="shared" ref="AN9:AN72" si="23">$AN$7</f>
        <v>25.584699745780082</v>
      </c>
      <c r="AO9" s="32">
        <f t="shared" ref="AO9:AO72" si="24">$AO$7</f>
        <v>25.957200169479929</v>
      </c>
      <c r="AP9" s="32">
        <f t="shared" ref="AP9:AP72" si="25">$AP$7</f>
        <v>25.659199830520048</v>
      </c>
      <c r="AQ9" s="32">
        <f t="shared" ref="AQ9:AQ72" si="26">$AQ$7</f>
        <v>25.882700084739959</v>
      </c>
      <c r="AR9" s="32">
        <f t="shared" ref="AR9:AR72" si="27">$AR$7</f>
        <v>25.733699915260019</v>
      </c>
      <c r="AS9" s="33">
        <f>ABS(AJ8-AJ9)</f>
        <v>7.9999999999998295E-2</v>
      </c>
      <c r="AT9" s="34">
        <f>$AT$8</f>
        <v>6.6666666666666249E-2</v>
      </c>
      <c r="AU9" s="34">
        <f>$AU$8</f>
        <v>0</v>
      </c>
      <c r="AV9" s="34">
        <f>$AV$8</f>
        <v>0.21790666666666531</v>
      </c>
      <c r="AZ9" s="16">
        <v>2</v>
      </c>
      <c r="BA9" s="35">
        <v>25.69</v>
      </c>
      <c r="BB9" s="32">
        <f t="shared" ref="BB9:BB72" si="28">$BB$7</f>
        <v>25.750800000000005</v>
      </c>
      <c r="BC9" s="32">
        <f t="shared" ref="BC9:BC72" si="29">$BC$7</f>
        <v>5.7272695206019339E-2</v>
      </c>
      <c r="BD9" s="32">
        <f t="shared" ref="BD9:BD72" si="30">$BD$7</f>
        <v>25.922618085618062</v>
      </c>
      <c r="BE9" s="32">
        <f t="shared" ref="BE9:BE72" si="31">$BE$7</f>
        <v>25.578981914381949</v>
      </c>
      <c r="BF9" s="32">
        <f t="shared" ref="BF9:BF72" si="32">$BF$7</f>
        <v>25.865345390412045</v>
      </c>
      <c r="BG9" s="32">
        <f t="shared" ref="BG9:BG72" si="33">$BG$7</f>
        <v>25.636254609587965</v>
      </c>
      <c r="BH9" s="32">
        <f t="shared" ref="BH9:BH72" si="34">$BH$7</f>
        <v>25.808072695206025</v>
      </c>
      <c r="BI9" s="32">
        <f t="shared" ref="BI9:BI72" si="35">BI8</f>
        <v>25.693527304793985</v>
      </c>
      <c r="BJ9" s="33">
        <f>ABS(BA8-BA9)</f>
        <v>4.00000000000027E-2</v>
      </c>
      <c r="BK9" s="34">
        <f>$BK$8</f>
        <v>3.6565656565656614E-2</v>
      </c>
      <c r="BL9" s="34">
        <f>$BL$8</f>
        <v>0</v>
      </c>
      <c r="BM9" s="34">
        <f>$BM$8</f>
        <v>0.11951850505050521</v>
      </c>
      <c r="BQ9" s="22">
        <v>2</v>
      </c>
      <c r="BR9" s="121" t="str">
        <f>IF(ISBLANK(Datos!B4),"",(ABS(Datos!B3-Datos!B4)))</f>
        <v/>
      </c>
      <c r="BS9" s="121" t="str">
        <f>IF(ISBLANK(Datos!C4),"",(ABS(Datos!C3-Datos!C4)))</f>
        <v/>
      </c>
      <c r="BT9" s="121" t="str">
        <f>IF(ISBLANK(Datos!D4),"",(ABS(Datos!D3-Datos!D4)))</f>
        <v/>
      </c>
      <c r="BU9" s="21" t="str">
        <f>IF(ISBLANK(Datos!E4),"",(ABS(Datos!E3-Datos!E4)))</f>
        <v/>
      </c>
    </row>
    <row r="10" spans="1:73" x14ac:dyDescent="0.3">
      <c r="A10" s="16">
        <v>3</v>
      </c>
      <c r="B10" s="35"/>
      <c r="C10" s="32" t="e">
        <f t="shared" si="4"/>
        <v>#DIV/0!</v>
      </c>
      <c r="D10" s="32" t="e">
        <f t="shared" si="5"/>
        <v>#DIV/0!</v>
      </c>
      <c r="E10" s="32" t="e">
        <f t="shared" si="6"/>
        <v>#DIV/0!</v>
      </c>
      <c r="F10" s="32" t="e">
        <f t="shared" si="7"/>
        <v>#DIV/0!</v>
      </c>
      <c r="G10" s="32" t="e">
        <f t="shared" si="8"/>
        <v>#DIV/0!</v>
      </c>
      <c r="H10" s="32" t="e">
        <f t="shared" si="9"/>
        <v>#DIV/0!</v>
      </c>
      <c r="I10" s="32" t="e">
        <f t="shared" si="10"/>
        <v>#DIV/0!</v>
      </c>
      <c r="J10" s="32" t="e">
        <f t="shared" si="11"/>
        <v>#DIV/0!</v>
      </c>
      <c r="K10" s="33">
        <f t="shared" ref="K10:K36" si="36">ABS(B9-B10)</f>
        <v>0</v>
      </c>
      <c r="L10" s="34">
        <f t="shared" ref="L10:L73" si="37">$L$8</f>
        <v>0</v>
      </c>
      <c r="M10" s="33">
        <f t="shared" ref="M10:M73" si="38">$M$8</f>
        <v>0</v>
      </c>
      <c r="N10" s="34">
        <f t="shared" ref="N10:N73" si="39">$N$8</f>
        <v>0</v>
      </c>
      <c r="R10" s="16">
        <v>3</v>
      </c>
      <c r="S10" s="49">
        <v>6.4210000000000003</v>
      </c>
      <c r="T10" s="32">
        <f t="shared" si="12"/>
        <v>6.3964700000000017</v>
      </c>
      <c r="U10" s="32">
        <f t="shared" si="13"/>
        <v>4.3797618818166538E-2</v>
      </c>
      <c r="V10" s="32">
        <f t="shared" si="14"/>
        <v>6.5278628564545009</v>
      </c>
      <c r="W10" s="32">
        <f t="shared" si="15"/>
        <v>6.2650771435455024</v>
      </c>
      <c r="X10" s="32">
        <f t="shared" si="16"/>
        <v>6.4840652376363348</v>
      </c>
      <c r="Y10" s="32">
        <f t="shared" si="17"/>
        <v>6.3088747623636685</v>
      </c>
      <c r="Z10" s="32">
        <f t="shared" si="18"/>
        <v>6.4402676188181678</v>
      </c>
      <c r="AA10" s="32">
        <f t="shared" si="19"/>
        <v>6.3526723811818355</v>
      </c>
      <c r="AB10" s="33">
        <f t="shared" ref="AB10:AB73" si="40">ABS(S9-S10)</f>
        <v>1.8000000000000682E-2</v>
      </c>
      <c r="AC10" s="34">
        <f t="shared" ref="AC10:AC73" si="41">$AC$8</f>
        <v>4.2444444444444479E-2</v>
      </c>
      <c r="AD10" s="33">
        <f t="shared" ref="AD10:AD73" si="42">$AD$8</f>
        <v>0</v>
      </c>
      <c r="AE10" s="34">
        <f t="shared" ref="AE10:AE73" si="43">$AE$8</f>
        <v>0.13873391111111122</v>
      </c>
      <c r="AI10" s="16">
        <v>3</v>
      </c>
      <c r="AJ10" s="35">
        <v>25.79</v>
      </c>
      <c r="AK10" s="32">
        <f t="shared" si="20"/>
        <v>25.808199999999989</v>
      </c>
      <c r="AL10" s="32">
        <f t="shared" si="21"/>
        <v>7.4500084739969288E-2</v>
      </c>
      <c r="AM10" s="32">
        <f t="shared" si="22"/>
        <v>26.031700254219896</v>
      </c>
      <c r="AN10" s="32">
        <f t="shared" si="23"/>
        <v>25.584699745780082</v>
      </c>
      <c r="AO10" s="32">
        <f t="shared" si="24"/>
        <v>25.957200169479929</v>
      </c>
      <c r="AP10" s="32">
        <f t="shared" si="25"/>
        <v>25.659199830520048</v>
      </c>
      <c r="AQ10" s="32">
        <f t="shared" si="26"/>
        <v>25.882700084739959</v>
      </c>
      <c r="AR10" s="32">
        <f t="shared" si="27"/>
        <v>25.733699915260019</v>
      </c>
      <c r="AS10" s="33">
        <f t="shared" ref="AS10:AS73" si="44">ABS(AJ9-AJ10)</f>
        <v>9.9999999999997868E-2</v>
      </c>
      <c r="AT10" s="34">
        <f t="shared" ref="AT10:AT73" si="45">$AT$8</f>
        <v>6.6666666666666249E-2</v>
      </c>
      <c r="AU10" s="34">
        <f t="shared" ref="AU10:AU73" si="46">$AU$8</f>
        <v>0</v>
      </c>
      <c r="AV10" s="34">
        <f t="shared" ref="AV10:AV73" si="47">$AV$8</f>
        <v>0.21790666666666531</v>
      </c>
      <c r="AZ10" s="16">
        <v>3</v>
      </c>
      <c r="BA10" s="35">
        <v>25.69</v>
      </c>
      <c r="BB10" s="32">
        <f t="shared" si="28"/>
        <v>25.750800000000005</v>
      </c>
      <c r="BC10" s="32">
        <f t="shared" si="29"/>
        <v>5.7272695206019339E-2</v>
      </c>
      <c r="BD10" s="32">
        <f t="shared" si="30"/>
        <v>25.922618085618062</v>
      </c>
      <c r="BE10" s="32">
        <f t="shared" si="31"/>
        <v>25.578981914381949</v>
      </c>
      <c r="BF10" s="32">
        <f t="shared" si="32"/>
        <v>25.865345390412045</v>
      </c>
      <c r="BG10" s="32">
        <f t="shared" si="33"/>
        <v>25.636254609587965</v>
      </c>
      <c r="BH10" s="32">
        <f t="shared" si="34"/>
        <v>25.808072695206025</v>
      </c>
      <c r="BI10" s="32">
        <f t="shared" si="35"/>
        <v>25.693527304793985</v>
      </c>
      <c r="BJ10" s="33">
        <f t="shared" ref="BJ10:BJ67" si="48">ABS(BA9-BA10)</f>
        <v>0</v>
      </c>
      <c r="BK10" s="34">
        <f t="shared" ref="BK10:BK73" si="49">$BK$8</f>
        <v>3.6565656565656614E-2</v>
      </c>
      <c r="BL10" s="34">
        <f t="shared" ref="BL10:BL73" si="50">$BL$8</f>
        <v>0</v>
      </c>
      <c r="BM10" s="34">
        <f t="shared" ref="BM10:BM73" si="51">$BM$8</f>
        <v>0.11951850505050521</v>
      </c>
      <c r="BQ10" s="22">
        <v>3</v>
      </c>
      <c r="BR10" s="121" t="str">
        <f>IF(ISBLANK(Datos!B5),"",(ABS(Datos!B4-Datos!B5)))</f>
        <v/>
      </c>
      <c r="BS10" s="121" t="str">
        <f>IF(ISBLANK(Datos!C5),"",(ABS(Datos!C4-Datos!C5)))</f>
        <v/>
      </c>
      <c r="BT10" s="121" t="str">
        <f>IF(ISBLANK(Datos!D5),"",(ABS(Datos!D4-Datos!D5)))</f>
        <v/>
      </c>
      <c r="BU10" s="21" t="str">
        <f>IF(ISBLANK(Datos!E5),"",(ABS(Datos!E4-Datos!E5)))</f>
        <v/>
      </c>
    </row>
    <row r="11" spans="1:73" x14ac:dyDescent="0.3">
      <c r="A11" s="16">
        <v>4</v>
      </c>
      <c r="B11" s="35"/>
      <c r="C11" s="32" t="e">
        <f t="shared" si="4"/>
        <v>#DIV/0!</v>
      </c>
      <c r="D11" s="32" t="e">
        <f t="shared" si="5"/>
        <v>#DIV/0!</v>
      </c>
      <c r="E11" s="32" t="e">
        <f t="shared" si="6"/>
        <v>#DIV/0!</v>
      </c>
      <c r="F11" s="32" t="e">
        <f t="shared" si="7"/>
        <v>#DIV/0!</v>
      </c>
      <c r="G11" s="32" t="e">
        <f t="shared" si="8"/>
        <v>#DIV/0!</v>
      </c>
      <c r="H11" s="32" t="e">
        <f t="shared" si="9"/>
        <v>#DIV/0!</v>
      </c>
      <c r="I11" s="32" t="e">
        <f t="shared" si="10"/>
        <v>#DIV/0!</v>
      </c>
      <c r="J11" s="32" t="e">
        <f t="shared" si="11"/>
        <v>#DIV/0!</v>
      </c>
      <c r="K11" s="33">
        <f t="shared" si="36"/>
        <v>0</v>
      </c>
      <c r="L11" s="34">
        <f t="shared" si="37"/>
        <v>0</v>
      </c>
      <c r="M11" s="33">
        <f t="shared" si="38"/>
        <v>0</v>
      </c>
      <c r="N11" s="34">
        <f t="shared" si="39"/>
        <v>0</v>
      </c>
      <c r="R11" s="16">
        <v>4</v>
      </c>
      <c r="S11" s="49">
        <v>6.45</v>
      </c>
      <c r="T11" s="32">
        <f t="shared" si="12"/>
        <v>6.3964700000000017</v>
      </c>
      <c r="U11" s="32">
        <f t="shared" si="13"/>
        <v>4.3797618818166538E-2</v>
      </c>
      <c r="V11" s="32">
        <f t="shared" si="14"/>
        <v>6.5278628564545009</v>
      </c>
      <c r="W11" s="32">
        <f t="shared" si="15"/>
        <v>6.2650771435455024</v>
      </c>
      <c r="X11" s="32">
        <f t="shared" si="16"/>
        <v>6.4840652376363348</v>
      </c>
      <c r="Y11" s="32">
        <f t="shared" si="17"/>
        <v>6.3088747623636685</v>
      </c>
      <c r="Z11" s="32">
        <f t="shared" si="18"/>
        <v>6.4402676188181678</v>
      </c>
      <c r="AA11" s="32">
        <f t="shared" si="19"/>
        <v>6.3526723811818355</v>
      </c>
      <c r="AB11" s="33">
        <f t="shared" si="40"/>
        <v>2.8999999999999915E-2</v>
      </c>
      <c r="AC11" s="34">
        <f t="shared" si="41"/>
        <v>4.2444444444444479E-2</v>
      </c>
      <c r="AD11" s="33">
        <f t="shared" si="42"/>
        <v>0</v>
      </c>
      <c r="AE11" s="34">
        <f t="shared" si="43"/>
        <v>0.13873391111111122</v>
      </c>
      <c r="AI11" s="16">
        <v>4</v>
      </c>
      <c r="AJ11" s="35">
        <v>25.86</v>
      </c>
      <c r="AK11" s="32">
        <f t="shared" si="20"/>
        <v>25.808199999999989</v>
      </c>
      <c r="AL11" s="32">
        <f t="shared" si="21"/>
        <v>7.4500084739969288E-2</v>
      </c>
      <c r="AM11" s="32">
        <f t="shared" si="22"/>
        <v>26.031700254219896</v>
      </c>
      <c r="AN11" s="32">
        <f t="shared" si="23"/>
        <v>25.584699745780082</v>
      </c>
      <c r="AO11" s="32">
        <f t="shared" si="24"/>
        <v>25.957200169479929</v>
      </c>
      <c r="AP11" s="32">
        <f t="shared" si="25"/>
        <v>25.659199830520048</v>
      </c>
      <c r="AQ11" s="32">
        <f t="shared" si="26"/>
        <v>25.882700084739959</v>
      </c>
      <c r="AR11" s="32">
        <f t="shared" si="27"/>
        <v>25.733699915260019</v>
      </c>
      <c r="AS11" s="33">
        <f t="shared" si="44"/>
        <v>7.0000000000000284E-2</v>
      </c>
      <c r="AT11" s="34">
        <f t="shared" si="45"/>
        <v>6.6666666666666249E-2</v>
      </c>
      <c r="AU11" s="34">
        <f t="shared" si="46"/>
        <v>0</v>
      </c>
      <c r="AV11" s="34">
        <f t="shared" si="47"/>
        <v>0.21790666666666531</v>
      </c>
      <c r="AZ11" s="16">
        <v>4</v>
      </c>
      <c r="BA11" s="35">
        <v>25.71</v>
      </c>
      <c r="BB11" s="32">
        <f t="shared" si="28"/>
        <v>25.750800000000005</v>
      </c>
      <c r="BC11" s="32">
        <f t="shared" si="29"/>
        <v>5.7272695206019339E-2</v>
      </c>
      <c r="BD11" s="32">
        <f t="shared" si="30"/>
        <v>25.922618085618062</v>
      </c>
      <c r="BE11" s="32">
        <f t="shared" si="31"/>
        <v>25.578981914381949</v>
      </c>
      <c r="BF11" s="32">
        <f t="shared" si="32"/>
        <v>25.865345390412045</v>
      </c>
      <c r="BG11" s="32">
        <f t="shared" si="33"/>
        <v>25.636254609587965</v>
      </c>
      <c r="BH11" s="32">
        <f t="shared" si="34"/>
        <v>25.808072695206025</v>
      </c>
      <c r="BI11" s="32">
        <f t="shared" si="35"/>
        <v>25.693527304793985</v>
      </c>
      <c r="BJ11" s="33">
        <f t="shared" si="48"/>
        <v>1.9999999999999574E-2</v>
      </c>
      <c r="BK11" s="34">
        <f t="shared" si="49"/>
        <v>3.6565656565656614E-2</v>
      </c>
      <c r="BL11" s="34">
        <f t="shared" si="50"/>
        <v>0</v>
      </c>
      <c r="BM11" s="34">
        <f t="shared" si="51"/>
        <v>0.11951850505050521</v>
      </c>
      <c r="BQ11" s="22">
        <v>4</v>
      </c>
      <c r="BR11" s="121" t="str">
        <f>IF(ISBLANK(Datos!B6),"",(ABS(Datos!B5-Datos!B6)))</f>
        <v/>
      </c>
      <c r="BS11" s="121" t="str">
        <f>IF(ISBLANK(Datos!C6),"",(ABS(Datos!C5-Datos!C6)))</f>
        <v/>
      </c>
      <c r="BT11" s="121" t="str">
        <f>IF(ISBLANK(Datos!D6),"",(ABS(Datos!D5-Datos!D6)))</f>
        <v/>
      </c>
      <c r="BU11" s="21" t="str">
        <f>IF(ISBLANK(Datos!E6),"",(ABS(Datos!E5-Datos!E6)))</f>
        <v/>
      </c>
    </row>
    <row r="12" spans="1:73" x14ac:dyDescent="0.3">
      <c r="A12" s="16">
        <v>5</v>
      </c>
      <c r="B12" s="35"/>
      <c r="C12" s="32" t="e">
        <f t="shared" si="4"/>
        <v>#DIV/0!</v>
      </c>
      <c r="D12" s="32" t="e">
        <f t="shared" si="5"/>
        <v>#DIV/0!</v>
      </c>
      <c r="E12" s="32" t="e">
        <f t="shared" si="6"/>
        <v>#DIV/0!</v>
      </c>
      <c r="F12" s="32" t="e">
        <f t="shared" si="7"/>
        <v>#DIV/0!</v>
      </c>
      <c r="G12" s="32" t="e">
        <f t="shared" si="8"/>
        <v>#DIV/0!</v>
      </c>
      <c r="H12" s="32" t="e">
        <f t="shared" si="9"/>
        <v>#DIV/0!</v>
      </c>
      <c r="I12" s="32" t="e">
        <f t="shared" si="10"/>
        <v>#DIV/0!</v>
      </c>
      <c r="J12" s="32" t="e">
        <f t="shared" si="11"/>
        <v>#DIV/0!</v>
      </c>
      <c r="K12" s="33">
        <f t="shared" si="36"/>
        <v>0</v>
      </c>
      <c r="L12" s="34">
        <f t="shared" si="37"/>
        <v>0</v>
      </c>
      <c r="M12" s="33">
        <f t="shared" si="38"/>
        <v>0</v>
      </c>
      <c r="N12" s="34">
        <f t="shared" si="39"/>
        <v>0</v>
      </c>
      <c r="R12" s="16">
        <v>5</v>
      </c>
      <c r="S12" s="49">
        <v>6.44</v>
      </c>
      <c r="T12" s="32">
        <f t="shared" si="12"/>
        <v>6.3964700000000017</v>
      </c>
      <c r="U12" s="32">
        <f t="shared" si="13"/>
        <v>4.3797618818166538E-2</v>
      </c>
      <c r="V12" s="32">
        <f t="shared" si="14"/>
        <v>6.5278628564545009</v>
      </c>
      <c r="W12" s="32">
        <f t="shared" si="15"/>
        <v>6.2650771435455024</v>
      </c>
      <c r="X12" s="32">
        <f t="shared" si="16"/>
        <v>6.4840652376363348</v>
      </c>
      <c r="Y12" s="32">
        <f t="shared" si="17"/>
        <v>6.3088747623636685</v>
      </c>
      <c r="Z12" s="32">
        <f t="shared" si="18"/>
        <v>6.4402676188181678</v>
      </c>
      <c r="AA12" s="32">
        <f t="shared" si="19"/>
        <v>6.3526723811818355</v>
      </c>
      <c r="AB12" s="33">
        <f t="shared" si="40"/>
        <v>9.9999999999997868E-3</v>
      </c>
      <c r="AC12" s="34">
        <f t="shared" si="41"/>
        <v>4.2444444444444479E-2</v>
      </c>
      <c r="AD12" s="33">
        <f t="shared" si="42"/>
        <v>0</v>
      </c>
      <c r="AE12" s="34">
        <f t="shared" si="43"/>
        <v>0.13873391111111122</v>
      </c>
      <c r="AI12" s="16">
        <v>5</v>
      </c>
      <c r="AJ12" s="35">
        <v>25.77</v>
      </c>
      <c r="AK12" s="32">
        <f t="shared" si="20"/>
        <v>25.808199999999989</v>
      </c>
      <c r="AL12" s="32">
        <f t="shared" si="21"/>
        <v>7.4500084739969288E-2</v>
      </c>
      <c r="AM12" s="32">
        <f t="shared" si="22"/>
        <v>26.031700254219896</v>
      </c>
      <c r="AN12" s="32">
        <f t="shared" si="23"/>
        <v>25.584699745780082</v>
      </c>
      <c r="AO12" s="32">
        <f t="shared" si="24"/>
        <v>25.957200169479929</v>
      </c>
      <c r="AP12" s="32">
        <f t="shared" si="25"/>
        <v>25.659199830520048</v>
      </c>
      <c r="AQ12" s="32">
        <f t="shared" si="26"/>
        <v>25.882700084739959</v>
      </c>
      <c r="AR12" s="32">
        <f t="shared" si="27"/>
        <v>25.733699915260019</v>
      </c>
      <c r="AS12" s="33">
        <f t="shared" si="44"/>
        <v>8.9999999999999858E-2</v>
      </c>
      <c r="AT12" s="34">
        <f t="shared" si="45"/>
        <v>6.6666666666666249E-2</v>
      </c>
      <c r="AU12" s="34">
        <f t="shared" si="46"/>
        <v>0</v>
      </c>
      <c r="AV12" s="34">
        <f t="shared" si="47"/>
        <v>0.21790666666666531</v>
      </c>
      <c r="AZ12" s="16">
        <v>5</v>
      </c>
      <c r="BA12" s="35">
        <v>25.66</v>
      </c>
      <c r="BB12" s="32">
        <f t="shared" si="28"/>
        <v>25.750800000000005</v>
      </c>
      <c r="BC12" s="32">
        <f t="shared" si="29"/>
        <v>5.7272695206019339E-2</v>
      </c>
      <c r="BD12" s="32">
        <f t="shared" si="30"/>
        <v>25.922618085618062</v>
      </c>
      <c r="BE12" s="32">
        <f t="shared" si="31"/>
        <v>25.578981914381949</v>
      </c>
      <c r="BF12" s="32">
        <f t="shared" si="32"/>
        <v>25.865345390412045</v>
      </c>
      <c r="BG12" s="32">
        <f t="shared" si="33"/>
        <v>25.636254609587965</v>
      </c>
      <c r="BH12" s="32">
        <f t="shared" si="34"/>
        <v>25.808072695206025</v>
      </c>
      <c r="BI12" s="32">
        <f t="shared" si="35"/>
        <v>25.693527304793985</v>
      </c>
      <c r="BJ12" s="33">
        <f t="shared" si="48"/>
        <v>5.0000000000000711E-2</v>
      </c>
      <c r="BK12" s="34">
        <f t="shared" si="49"/>
        <v>3.6565656565656614E-2</v>
      </c>
      <c r="BL12" s="34">
        <f t="shared" si="50"/>
        <v>0</v>
      </c>
      <c r="BM12" s="34">
        <f t="shared" si="51"/>
        <v>0.11951850505050521</v>
      </c>
      <c r="BQ12" s="22">
        <v>5</v>
      </c>
      <c r="BR12" s="121" t="str">
        <f>IF(ISBLANK(Datos!B7),"",(ABS(Datos!B6-Datos!B7)))</f>
        <v/>
      </c>
      <c r="BS12" s="121" t="str">
        <f>IF(ISBLANK(Datos!C7),"",(ABS(Datos!C6-Datos!C7)))</f>
        <v/>
      </c>
      <c r="BT12" s="121" t="str">
        <f>IF(ISBLANK(Datos!D7),"",(ABS(Datos!D6-Datos!D7)))</f>
        <v/>
      </c>
      <c r="BU12" s="21" t="str">
        <f>IF(ISBLANK(Datos!E7),"",(ABS(Datos!E6-Datos!E7)))</f>
        <v/>
      </c>
    </row>
    <row r="13" spans="1:73" x14ac:dyDescent="0.3">
      <c r="A13" s="16">
        <v>6</v>
      </c>
      <c r="B13" s="35"/>
      <c r="C13" s="32" t="e">
        <f t="shared" si="4"/>
        <v>#DIV/0!</v>
      </c>
      <c r="D13" s="32" t="e">
        <f t="shared" si="5"/>
        <v>#DIV/0!</v>
      </c>
      <c r="E13" s="32" t="e">
        <f t="shared" si="6"/>
        <v>#DIV/0!</v>
      </c>
      <c r="F13" s="32" t="e">
        <f t="shared" si="7"/>
        <v>#DIV/0!</v>
      </c>
      <c r="G13" s="32" t="e">
        <f t="shared" si="8"/>
        <v>#DIV/0!</v>
      </c>
      <c r="H13" s="32" t="e">
        <f t="shared" si="9"/>
        <v>#DIV/0!</v>
      </c>
      <c r="I13" s="32" t="e">
        <f t="shared" si="10"/>
        <v>#DIV/0!</v>
      </c>
      <c r="J13" s="32" t="e">
        <f t="shared" si="11"/>
        <v>#DIV/0!</v>
      </c>
      <c r="K13" s="33">
        <f t="shared" si="36"/>
        <v>0</v>
      </c>
      <c r="L13" s="34">
        <f t="shared" si="37"/>
        <v>0</v>
      </c>
      <c r="M13" s="33">
        <f t="shared" si="38"/>
        <v>0</v>
      </c>
      <c r="N13" s="34">
        <f t="shared" si="39"/>
        <v>0</v>
      </c>
      <c r="R13" s="16">
        <v>6</v>
      </c>
      <c r="S13" s="49">
        <v>6.41</v>
      </c>
      <c r="T13" s="32">
        <f t="shared" si="12"/>
        <v>6.3964700000000017</v>
      </c>
      <c r="U13" s="32">
        <f t="shared" si="13"/>
        <v>4.3797618818166538E-2</v>
      </c>
      <c r="V13" s="32">
        <f t="shared" si="14"/>
        <v>6.5278628564545009</v>
      </c>
      <c r="W13" s="32">
        <f t="shared" si="15"/>
        <v>6.2650771435455024</v>
      </c>
      <c r="X13" s="32">
        <f t="shared" si="16"/>
        <v>6.4840652376363348</v>
      </c>
      <c r="Y13" s="32">
        <f t="shared" si="17"/>
        <v>6.3088747623636685</v>
      </c>
      <c r="Z13" s="32">
        <f t="shared" si="18"/>
        <v>6.4402676188181678</v>
      </c>
      <c r="AA13" s="32">
        <f t="shared" si="19"/>
        <v>6.3526723811818355</v>
      </c>
      <c r="AB13" s="33">
        <f t="shared" si="40"/>
        <v>3.0000000000000249E-2</v>
      </c>
      <c r="AC13" s="34">
        <f t="shared" si="41"/>
        <v>4.2444444444444479E-2</v>
      </c>
      <c r="AD13" s="33">
        <f t="shared" si="42"/>
        <v>0</v>
      </c>
      <c r="AE13" s="34">
        <f t="shared" si="43"/>
        <v>0.13873391111111122</v>
      </c>
      <c r="AI13" s="16">
        <v>6</v>
      </c>
      <c r="AJ13" s="35">
        <v>25.67</v>
      </c>
      <c r="AK13" s="32">
        <f t="shared" si="20"/>
        <v>25.808199999999989</v>
      </c>
      <c r="AL13" s="32">
        <f t="shared" si="21"/>
        <v>7.4500084739969288E-2</v>
      </c>
      <c r="AM13" s="32">
        <f t="shared" si="22"/>
        <v>26.031700254219896</v>
      </c>
      <c r="AN13" s="32">
        <f t="shared" si="23"/>
        <v>25.584699745780082</v>
      </c>
      <c r="AO13" s="32">
        <f t="shared" si="24"/>
        <v>25.957200169479929</v>
      </c>
      <c r="AP13" s="32">
        <f t="shared" si="25"/>
        <v>25.659199830520048</v>
      </c>
      <c r="AQ13" s="32">
        <f t="shared" si="26"/>
        <v>25.882700084739959</v>
      </c>
      <c r="AR13" s="32">
        <f t="shared" si="27"/>
        <v>25.733699915260019</v>
      </c>
      <c r="AS13" s="33">
        <f t="shared" si="44"/>
        <v>9.9999999999997868E-2</v>
      </c>
      <c r="AT13" s="34">
        <f t="shared" si="45"/>
        <v>6.6666666666666249E-2</v>
      </c>
      <c r="AU13" s="34">
        <f t="shared" si="46"/>
        <v>0</v>
      </c>
      <c r="AV13" s="34">
        <f t="shared" si="47"/>
        <v>0.21790666666666531</v>
      </c>
      <c r="AZ13" s="16">
        <v>6</v>
      </c>
      <c r="BA13" s="35">
        <v>25.67</v>
      </c>
      <c r="BB13" s="32">
        <f t="shared" si="28"/>
        <v>25.750800000000005</v>
      </c>
      <c r="BC13" s="32">
        <f t="shared" si="29"/>
        <v>5.7272695206019339E-2</v>
      </c>
      <c r="BD13" s="32">
        <f t="shared" si="30"/>
        <v>25.922618085618062</v>
      </c>
      <c r="BE13" s="32">
        <f t="shared" si="31"/>
        <v>25.578981914381949</v>
      </c>
      <c r="BF13" s="32">
        <f t="shared" si="32"/>
        <v>25.865345390412045</v>
      </c>
      <c r="BG13" s="32">
        <f t="shared" si="33"/>
        <v>25.636254609587965</v>
      </c>
      <c r="BH13" s="32">
        <f t="shared" si="34"/>
        <v>25.808072695206025</v>
      </c>
      <c r="BI13" s="32">
        <f t="shared" si="35"/>
        <v>25.693527304793985</v>
      </c>
      <c r="BJ13" s="33">
        <f t="shared" si="48"/>
        <v>1.0000000000001563E-2</v>
      </c>
      <c r="BK13" s="34">
        <f t="shared" si="49"/>
        <v>3.6565656565656614E-2</v>
      </c>
      <c r="BL13" s="34">
        <f t="shared" si="50"/>
        <v>0</v>
      </c>
      <c r="BM13" s="34">
        <f t="shared" si="51"/>
        <v>0.11951850505050521</v>
      </c>
      <c r="BQ13" s="22">
        <v>6</v>
      </c>
      <c r="BR13" s="121" t="str">
        <f>IF(ISBLANK(Datos!B8),"",(ABS(Datos!B7-Datos!B8)))</f>
        <v/>
      </c>
      <c r="BS13" s="121" t="str">
        <f>IF(ISBLANK(Datos!C8),"",(ABS(Datos!C7-Datos!C8)))</f>
        <v/>
      </c>
      <c r="BT13" s="121" t="str">
        <f>IF(ISBLANK(Datos!D8),"",(ABS(Datos!D7-Datos!D8)))</f>
        <v/>
      </c>
      <c r="BU13" s="21" t="str">
        <f>IF(ISBLANK(Datos!E8),"",(ABS(Datos!E7-Datos!E8)))</f>
        <v/>
      </c>
    </row>
    <row r="14" spans="1:73" x14ac:dyDescent="0.3">
      <c r="A14" s="16">
        <v>7</v>
      </c>
      <c r="B14" s="35"/>
      <c r="C14" s="32" t="e">
        <f t="shared" si="4"/>
        <v>#DIV/0!</v>
      </c>
      <c r="D14" s="32" t="e">
        <f t="shared" si="5"/>
        <v>#DIV/0!</v>
      </c>
      <c r="E14" s="32" t="e">
        <f t="shared" si="6"/>
        <v>#DIV/0!</v>
      </c>
      <c r="F14" s="32" t="e">
        <f t="shared" si="7"/>
        <v>#DIV/0!</v>
      </c>
      <c r="G14" s="32" t="e">
        <f t="shared" si="8"/>
        <v>#DIV/0!</v>
      </c>
      <c r="H14" s="32" t="e">
        <f t="shared" si="9"/>
        <v>#DIV/0!</v>
      </c>
      <c r="I14" s="32" t="e">
        <f t="shared" si="10"/>
        <v>#DIV/0!</v>
      </c>
      <c r="J14" s="32" t="e">
        <f t="shared" si="11"/>
        <v>#DIV/0!</v>
      </c>
      <c r="K14" s="33">
        <f t="shared" si="36"/>
        <v>0</v>
      </c>
      <c r="L14" s="34">
        <f t="shared" si="37"/>
        <v>0</v>
      </c>
      <c r="M14" s="33">
        <f t="shared" si="38"/>
        <v>0</v>
      </c>
      <c r="N14" s="34">
        <f t="shared" si="39"/>
        <v>0</v>
      </c>
      <c r="R14" s="16">
        <v>7</v>
      </c>
      <c r="S14" s="49">
        <v>6.42</v>
      </c>
      <c r="T14" s="32">
        <f t="shared" si="12"/>
        <v>6.3964700000000017</v>
      </c>
      <c r="U14" s="32">
        <f t="shared" si="13"/>
        <v>4.3797618818166538E-2</v>
      </c>
      <c r="V14" s="32">
        <f t="shared" si="14"/>
        <v>6.5278628564545009</v>
      </c>
      <c r="W14" s="32">
        <f t="shared" si="15"/>
        <v>6.2650771435455024</v>
      </c>
      <c r="X14" s="32">
        <f t="shared" si="16"/>
        <v>6.4840652376363348</v>
      </c>
      <c r="Y14" s="32">
        <f t="shared" si="17"/>
        <v>6.3088747623636685</v>
      </c>
      <c r="Z14" s="32">
        <f t="shared" si="18"/>
        <v>6.4402676188181678</v>
      </c>
      <c r="AA14" s="32">
        <f t="shared" si="19"/>
        <v>6.3526723811818355</v>
      </c>
      <c r="AB14" s="33">
        <f t="shared" si="40"/>
        <v>9.9999999999997868E-3</v>
      </c>
      <c r="AC14" s="34">
        <f t="shared" si="41"/>
        <v>4.2444444444444479E-2</v>
      </c>
      <c r="AD14" s="33">
        <f t="shared" si="42"/>
        <v>0</v>
      </c>
      <c r="AE14" s="34">
        <f t="shared" si="43"/>
        <v>0.13873391111111122</v>
      </c>
      <c r="AI14" s="16">
        <v>7</v>
      </c>
      <c r="AJ14" s="35">
        <v>25.66</v>
      </c>
      <c r="AK14" s="32">
        <f t="shared" si="20"/>
        <v>25.808199999999989</v>
      </c>
      <c r="AL14" s="32">
        <f t="shared" si="21"/>
        <v>7.4500084739969288E-2</v>
      </c>
      <c r="AM14" s="32">
        <f t="shared" si="22"/>
        <v>26.031700254219896</v>
      </c>
      <c r="AN14" s="32">
        <f t="shared" si="23"/>
        <v>25.584699745780082</v>
      </c>
      <c r="AO14" s="32">
        <f t="shared" si="24"/>
        <v>25.957200169479929</v>
      </c>
      <c r="AP14" s="32">
        <f t="shared" si="25"/>
        <v>25.659199830520048</v>
      </c>
      <c r="AQ14" s="32">
        <f t="shared" si="26"/>
        <v>25.882700084739959</v>
      </c>
      <c r="AR14" s="32">
        <f t="shared" si="27"/>
        <v>25.733699915260019</v>
      </c>
      <c r="AS14" s="33">
        <f t="shared" si="44"/>
        <v>1.0000000000001563E-2</v>
      </c>
      <c r="AT14" s="34">
        <f t="shared" si="45"/>
        <v>6.6666666666666249E-2</v>
      </c>
      <c r="AU14" s="34">
        <f t="shared" si="46"/>
        <v>0</v>
      </c>
      <c r="AV14" s="34">
        <f t="shared" si="47"/>
        <v>0.21790666666666531</v>
      </c>
      <c r="AZ14" s="16">
        <v>7</v>
      </c>
      <c r="BA14" s="35">
        <v>25.66</v>
      </c>
      <c r="BB14" s="32">
        <f t="shared" si="28"/>
        <v>25.750800000000005</v>
      </c>
      <c r="BC14" s="32">
        <f t="shared" si="29"/>
        <v>5.7272695206019339E-2</v>
      </c>
      <c r="BD14" s="32">
        <f t="shared" si="30"/>
        <v>25.922618085618062</v>
      </c>
      <c r="BE14" s="32">
        <f t="shared" si="31"/>
        <v>25.578981914381949</v>
      </c>
      <c r="BF14" s="32">
        <f t="shared" si="32"/>
        <v>25.865345390412045</v>
      </c>
      <c r="BG14" s="32">
        <f t="shared" si="33"/>
        <v>25.636254609587965</v>
      </c>
      <c r="BH14" s="32">
        <f t="shared" si="34"/>
        <v>25.808072695206025</v>
      </c>
      <c r="BI14" s="32">
        <f t="shared" si="35"/>
        <v>25.693527304793985</v>
      </c>
      <c r="BJ14" s="33">
        <f t="shared" si="48"/>
        <v>1.0000000000001563E-2</v>
      </c>
      <c r="BK14" s="34">
        <f t="shared" si="49"/>
        <v>3.6565656565656614E-2</v>
      </c>
      <c r="BL14" s="34">
        <f t="shared" si="50"/>
        <v>0</v>
      </c>
      <c r="BM14" s="34">
        <f t="shared" si="51"/>
        <v>0.11951850505050521</v>
      </c>
      <c r="BQ14" s="22">
        <v>7</v>
      </c>
      <c r="BR14" s="121" t="str">
        <f>IF(ISBLANK(Datos!B9),"",(ABS(Datos!B8-Datos!B9)))</f>
        <v/>
      </c>
      <c r="BS14" s="121" t="str">
        <f>IF(ISBLANK(Datos!C9),"",(ABS(Datos!C8-Datos!C9)))</f>
        <v/>
      </c>
      <c r="BT14" s="121" t="str">
        <f>IF(ISBLANK(Datos!D9),"",(ABS(Datos!D8-Datos!D9)))</f>
        <v/>
      </c>
      <c r="BU14" s="21" t="str">
        <f>IF(ISBLANK(Datos!E9),"",(ABS(Datos!E8-Datos!E9)))</f>
        <v/>
      </c>
    </row>
    <row r="15" spans="1:73" x14ac:dyDescent="0.3">
      <c r="A15" s="16">
        <v>8</v>
      </c>
      <c r="B15" s="35"/>
      <c r="C15" s="32" t="e">
        <f t="shared" si="4"/>
        <v>#DIV/0!</v>
      </c>
      <c r="D15" s="32" t="e">
        <f t="shared" si="5"/>
        <v>#DIV/0!</v>
      </c>
      <c r="E15" s="32" t="e">
        <f t="shared" si="6"/>
        <v>#DIV/0!</v>
      </c>
      <c r="F15" s="32" t="e">
        <f t="shared" si="7"/>
        <v>#DIV/0!</v>
      </c>
      <c r="G15" s="32" t="e">
        <f t="shared" si="8"/>
        <v>#DIV/0!</v>
      </c>
      <c r="H15" s="32" t="e">
        <f t="shared" si="9"/>
        <v>#DIV/0!</v>
      </c>
      <c r="I15" s="32" t="e">
        <f t="shared" si="10"/>
        <v>#DIV/0!</v>
      </c>
      <c r="J15" s="32" t="e">
        <f t="shared" si="11"/>
        <v>#DIV/0!</v>
      </c>
      <c r="K15" s="33">
        <f t="shared" si="36"/>
        <v>0</v>
      </c>
      <c r="L15" s="34">
        <f t="shared" si="37"/>
        <v>0</v>
      </c>
      <c r="M15" s="33">
        <f t="shared" si="38"/>
        <v>0</v>
      </c>
      <c r="N15" s="34">
        <f t="shared" si="39"/>
        <v>0</v>
      </c>
      <c r="R15" s="16">
        <v>8</v>
      </c>
      <c r="S15" s="49">
        <v>6.4039999999999999</v>
      </c>
      <c r="T15" s="32">
        <f t="shared" si="12"/>
        <v>6.3964700000000017</v>
      </c>
      <c r="U15" s="32">
        <f t="shared" si="13"/>
        <v>4.3797618818166538E-2</v>
      </c>
      <c r="V15" s="32">
        <f t="shared" si="14"/>
        <v>6.5278628564545009</v>
      </c>
      <c r="W15" s="32">
        <f t="shared" si="15"/>
        <v>6.2650771435455024</v>
      </c>
      <c r="X15" s="32">
        <f t="shared" si="16"/>
        <v>6.4840652376363348</v>
      </c>
      <c r="Y15" s="32">
        <f t="shared" si="17"/>
        <v>6.3088747623636685</v>
      </c>
      <c r="Z15" s="32">
        <f t="shared" si="18"/>
        <v>6.4402676188181678</v>
      </c>
      <c r="AA15" s="32">
        <f t="shared" si="19"/>
        <v>6.3526723811818355</v>
      </c>
      <c r="AB15" s="33">
        <f t="shared" si="40"/>
        <v>1.6000000000000014E-2</v>
      </c>
      <c r="AC15" s="34">
        <f t="shared" si="41"/>
        <v>4.2444444444444479E-2</v>
      </c>
      <c r="AD15" s="33">
        <f t="shared" si="42"/>
        <v>0</v>
      </c>
      <c r="AE15" s="34">
        <f t="shared" si="43"/>
        <v>0.13873391111111122</v>
      </c>
      <c r="AI15" s="16">
        <v>8</v>
      </c>
      <c r="AJ15" s="35">
        <v>25.82</v>
      </c>
      <c r="AK15" s="32">
        <f t="shared" si="20"/>
        <v>25.808199999999989</v>
      </c>
      <c r="AL15" s="32">
        <f t="shared" si="21"/>
        <v>7.4500084739969288E-2</v>
      </c>
      <c r="AM15" s="32">
        <f t="shared" si="22"/>
        <v>26.031700254219896</v>
      </c>
      <c r="AN15" s="32">
        <f t="shared" si="23"/>
        <v>25.584699745780082</v>
      </c>
      <c r="AO15" s="32">
        <f t="shared" si="24"/>
        <v>25.957200169479929</v>
      </c>
      <c r="AP15" s="32">
        <f t="shared" si="25"/>
        <v>25.659199830520048</v>
      </c>
      <c r="AQ15" s="32">
        <f t="shared" si="26"/>
        <v>25.882700084739959</v>
      </c>
      <c r="AR15" s="32">
        <f t="shared" si="27"/>
        <v>25.733699915260019</v>
      </c>
      <c r="AS15" s="33">
        <f t="shared" si="44"/>
        <v>0.16000000000000014</v>
      </c>
      <c r="AT15" s="34">
        <f t="shared" si="45"/>
        <v>6.6666666666666249E-2</v>
      </c>
      <c r="AU15" s="34">
        <f t="shared" si="46"/>
        <v>0</v>
      </c>
      <c r="AV15" s="34">
        <f t="shared" si="47"/>
        <v>0.21790666666666531</v>
      </c>
      <c r="AZ15" s="16">
        <v>8</v>
      </c>
      <c r="BA15" s="35">
        <v>25.67</v>
      </c>
      <c r="BB15" s="32">
        <f t="shared" si="28"/>
        <v>25.750800000000005</v>
      </c>
      <c r="BC15" s="32">
        <f t="shared" si="29"/>
        <v>5.7272695206019339E-2</v>
      </c>
      <c r="BD15" s="32">
        <f t="shared" si="30"/>
        <v>25.922618085618062</v>
      </c>
      <c r="BE15" s="32">
        <f t="shared" si="31"/>
        <v>25.578981914381949</v>
      </c>
      <c r="BF15" s="32">
        <f t="shared" si="32"/>
        <v>25.865345390412045</v>
      </c>
      <c r="BG15" s="32">
        <f t="shared" si="33"/>
        <v>25.636254609587965</v>
      </c>
      <c r="BH15" s="32">
        <f t="shared" si="34"/>
        <v>25.808072695206025</v>
      </c>
      <c r="BI15" s="32">
        <f t="shared" si="35"/>
        <v>25.693527304793985</v>
      </c>
      <c r="BJ15" s="33">
        <f t="shared" si="48"/>
        <v>1.0000000000001563E-2</v>
      </c>
      <c r="BK15" s="34">
        <f t="shared" si="49"/>
        <v>3.6565656565656614E-2</v>
      </c>
      <c r="BL15" s="34">
        <f t="shared" si="50"/>
        <v>0</v>
      </c>
      <c r="BM15" s="34">
        <f t="shared" si="51"/>
        <v>0.11951850505050521</v>
      </c>
      <c r="BQ15" s="22">
        <v>8</v>
      </c>
      <c r="BR15" s="121" t="str">
        <f>IF(ISBLANK(Datos!B10),"",(ABS(Datos!B9-Datos!B10)))</f>
        <v/>
      </c>
      <c r="BS15" s="121" t="str">
        <f>IF(ISBLANK(Datos!C10),"",(ABS(Datos!C9-Datos!C10)))</f>
        <v/>
      </c>
      <c r="BT15" s="121" t="str">
        <f>IF(ISBLANK(Datos!D10),"",(ABS(Datos!D9-Datos!D10)))</f>
        <v/>
      </c>
      <c r="BU15" s="21" t="str">
        <f>IF(ISBLANK(Datos!E10),"",(ABS(Datos!E9-Datos!E10)))</f>
        <v/>
      </c>
    </row>
    <row r="16" spans="1:73" x14ac:dyDescent="0.3">
      <c r="A16" s="16">
        <v>9</v>
      </c>
      <c r="B16" s="35"/>
      <c r="C16" s="32" t="e">
        <f t="shared" si="4"/>
        <v>#DIV/0!</v>
      </c>
      <c r="D16" s="32" t="e">
        <f t="shared" si="5"/>
        <v>#DIV/0!</v>
      </c>
      <c r="E16" s="32" t="e">
        <f t="shared" si="6"/>
        <v>#DIV/0!</v>
      </c>
      <c r="F16" s="32" t="e">
        <f t="shared" si="7"/>
        <v>#DIV/0!</v>
      </c>
      <c r="G16" s="32" t="e">
        <f t="shared" si="8"/>
        <v>#DIV/0!</v>
      </c>
      <c r="H16" s="32" t="e">
        <f t="shared" si="9"/>
        <v>#DIV/0!</v>
      </c>
      <c r="I16" s="32" t="e">
        <f t="shared" si="10"/>
        <v>#DIV/0!</v>
      </c>
      <c r="J16" s="32" t="e">
        <f t="shared" si="11"/>
        <v>#DIV/0!</v>
      </c>
      <c r="K16" s="33">
        <f t="shared" si="36"/>
        <v>0</v>
      </c>
      <c r="L16" s="34">
        <f t="shared" si="37"/>
        <v>0</v>
      </c>
      <c r="M16" s="33">
        <f t="shared" si="38"/>
        <v>0</v>
      </c>
      <c r="N16" s="34">
        <f t="shared" si="39"/>
        <v>0</v>
      </c>
      <c r="R16" s="16">
        <v>9</v>
      </c>
      <c r="S16" s="49">
        <v>6.42</v>
      </c>
      <c r="T16" s="32">
        <f t="shared" si="12"/>
        <v>6.3964700000000017</v>
      </c>
      <c r="U16" s="32">
        <f t="shared" si="13"/>
        <v>4.3797618818166538E-2</v>
      </c>
      <c r="V16" s="32">
        <f t="shared" si="14"/>
        <v>6.5278628564545009</v>
      </c>
      <c r="W16" s="32">
        <f t="shared" si="15"/>
        <v>6.2650771435455024</v>
      </c>
      <c r="X16" s="32">
        <f t="shared" si="16"/>
        <v>6.4840652376363348</v>
      </c>
      <c r="Y16" s="32">
        <f t="shared" si="17"/>
        <v>6.3088747623636685</v>
      </c>
      <c r="Z16" s="32">
        <f t="shared" si="18"/>
        <v>6.4402676188181678</v>
      </c>
      <c r="AA16" s="32">
        <f t="shared" si="19"/>
        <v>6.3526723811818355</v>
      </c>
      <c r="AB16" s="33">
        <f t="shared" si="40"/>
        <v>1.6000000000000014E-2</v>
      </c>
      <c r="AC16" s="34">
        <f t="shared" si="41"/>
        <v>4.2444444444444479E-2</v>
      </c>
      <c r="AD16" s="33">
        <f t="shared" si="42"/>
        <v>0</v>
      </c>
      <c r="AE16" s="34">
        <f t="shared" si="43"/>
        <v>0.13873391111111122</v>
      </c>
      <c r="AI16" s="16">
        <v>9</v>
      </c>
      <c r="AJ16" s="35">
        <v>25.9</v>
      </c>
      <c r="AK16" s="32">
        <f t="shared" si="20"/>
        <v>25.808199999999989</v>
      </c>
      <c r="AL16" s="32">
        <f t="shared" si="21"/>
        <v>7.4500084739969288E-2</v>
      </c>
      <c r="AM16" s="32">
        <f t="shared" si="22"/>
        <v>26.031700254219896</v>
      </c>
      <c r="AN16" s="32">
        <f t="shared" si="23"/>
        <v>25.584699745780082</v>
      </c>
      <c r="AO16" s="32">
        <f t="shared" si="24"/>
        <v>25.957200169479929</v>
      </c>
      <c r="AP16" s="32">
        <f t="shared" si="25"/>
        <v>25.659199830520048</v>
      </c>
      <c r="AQ16" s="32">
        <f t="shared" si="26"/>
        <v>25.882700084739959</v>
      </c>
      <c r="AR16" s="32">
        <f t="shared" si="27"/>
        <v>25.733699915260019</v>
      </c>
      <c r="AS16" s="33">
        <f t="shared" si="44"/>
        <v>7.9999999999998295E-2</v>
      </c>
      <c r="AT16" s="34">
        <f t="shared" si="45"/>
        <v>6.6666666666666249E-2</v>
      </c>
      <c r="AU16" s="34">
        <f t="shared" si="46"/>
        <v>0</v>
      </c>
      <c r="AV16" s="34">
        <f t="shared" si="47"/>
        <v>0.21790666666666531</v>
      </c>
      <c r="AZ16" s="16">
        <v>9</v>
      </c>
      <c r="BA16" s="35">
        <v>25.7</v>
      </c>
      <c r="BB16" s="32">
        <f t="shared" si="28"/>
        <v>25.750800000000005</v>
      </c>
      <c r="BC16" s="32">
        <f t="shared" si="29"/>
        <v>5.7272695206019339E-2</v>
      </c>
      <c r="BD16" s="32">
        <f t="shared" si="30"/>
        <v>25.922618085618062</v>
      </c>
      <c r="BE16" s="32">
        <f t="shared" si="31"/>
        <v>25.578981914381949</v>
      </c>
      <c r="BF16" s="32">
        <f t="shared" si="32"/>
        <v>25.865345390412045</v>
      </c>
      <c r="BG16" s="32">
        <f t="shared" si="33"/>
        <v>25.636254609587965</v>
      </c>
      <c r="BH16" s="32">
        <f t="shared" si="34"/>
        <v>25.808072695206025</v>
      </c>
      <c r="BI16" s="32">
        <f t="shared" si="35"/>
        <v>25.693527304793985</v>
      </c>
      <c r="BJ16" s="33">
        <f t="shared" si="48"/>
        <v>2.9999999999997584E-2</v>
      </c>
      <c r="BK16" s="34">
        <f t="shared" si="49"/>
        <v>3.6565656565656614E-2</v>
      </c>
      <c r="BL16" s="34">
        <f t="shared" si="50"/>
        <v>0</v>
      </c>
      <c r="BM16" s="34">
        <f t="shared" si="51"/>
        <v>0.11951850505050521</v>
      </c>
      <c r="BQ16" s="22">
        <v>9</v>
      </c>
      <c r="BR16" s="121" t="str">
        <f>IF(ISBLANK(Datos!B11),"",(ABS(Datos!B10-Datos!B11)))</f>
        <v/>
      </c>
      <c r="BS16" s="121" t="str">
        <f>IF(ISBLANK(Datos!C11),"",(ABS(Datos!C10-Datos!C11)))</f>
        <v/>
      </c>
      <c r="BT16" s="121" t="str">
        <f>IF(ISBLANK(Datos!D11),"",(ABS(Datos!D10-Datos!D11)))</f>
        <v/>
      </c>
      <c r="BU16" s="21" t="str">
        <f>IF(ISBLANK(Datos!E11),"",(ABS(Datos!E10-Datos!E11)))</f>
        <v/>
      </c>
    </row>
    <row r="17" spans="1:73" x14ac:dyDescent="0.3">
      <c r="A17" s="16">
        <v>10</v>
      </c>
      <c r="B17" s="35"/>
      <c r="C17" s="32" t="e">
        <f t="shared" si="4"/>
        <v>#DIV/0!</v>
      </c>
      <c r="D17" s="32" t="e">
        <f t="shared" si="5"/>
        <v>#DIV/0!</v>
      </c>
      <c r="E17" s="32" t="e">
        <f t="shared" si="6"/>
        <v>#DIV/0!</v>
      </c>
      <c r="F17" s="32" t="e">
        <f t="shared" si="7"/>
        <v>#DIV/0!</v>
      </c>
      <c r="G17" s="32" t="e">
        <f t="shared" si="8"/>
        <v>#DIV/0!</v>
      </c>
      <c r="H17" s="32" t="e">
        <f t="shared" si="9"/>
        <v>#DIV/0!</v>
      </c>
      <c r="I17" s="32" t="e">
        <f t="shared" si="10"/>
        <v>#DIV/0!</v>
      </c>
      <c r="J17" s="32" t="e">
        <f t="shared" si="11"/>
        <v>#DIV/0!</v>
      </c>
      <c r="K17" s="33">
        <f t="shared" si="36"/>
        <v>0</v>
      </c>
      <c r="L17" s="34">
        <f t="shared" si="37"/>
        <v>0</v>
      </c>
      <c r="M17" s="33">
        <f t="shared" si="38"/>
        <v>0</v>
      </c>
      <c r="N17" s="34">
        <f t="shared" si="39"/>
        <v>0</v>
      </c>
      <c r="R17" s="16">
        <v>10</v>
      </c>
      <c r="S17" s="49">
        <v>6.42</v>
      </c>
      <c r="T17" s="32">
        <f t="shared" si="12"/>
        <v>6.3964700000000017</v>
      </c>
      <c r="U17" s="32">
        <f t="shared" si="13"/>
        <v>4.3797618818166538E-2</v>
      </c>
      <c r="V17" s="32">
        <f t="shared" si="14"/>
        <v>6.5278628564545009</v>
      </c>
      <c r="W17" s="32">
        <f t="shared" si="15"/>
        <v>6.2650771435455024</v>
      </c>
      <c r="X17" s="32">
        <f t="shared" si="16"/>
        <v>6.4840652376363348</v>
      </c>
      <c r="Y17" s="32">
        <f t="shared" si="17"/>
        <v>6.3088747623636685</v>
      </c>
      <c r="Z17" s="32">
        <f t="shared" si="18"/>
        <v>6.4402676188181678</v>
      </c>
      <c r="AA17" s="32">
        <f t="shared" si="19"/>
        <v>6.3526723811818355</v>
      </c>
      <c r="AB17" s="33">
        <f t="shared" si="40"/>
        <v>0</v>
      </c>
      <c r="AC17" s="34">
        <f t="shared" si="41"/>
        <v>4.2444444444444479E-2</v>
      </c>
      <c r="AD17" s="33">
        <f t="shared" si="42"/>
        <v>0</v>
      </c>
      <c r="AE17" s="34">
        <f t="shared" si="43"/>
        <v>0.13873391111111122</v>
      </c>
      <c r="AI17" s="16">
        <v>10</v>
      </c>
      <c r="AJ17" s="35">
        <v>25.66</v>
      </c>
      <c r="AK17" s="32">
        <f t="shared" si="20"/>
        <v>25.808199999999989</v>
      </c>
      <c r="AL17" s="32">
        <f t="shared" si="21"/>
        <v>7.4500084739969288E-2</v>
      </c>
      <c r="AM17" s="32">
        <f t="shared" si="22"/>
        <v>26.031700254219896</v>
      </c>
      <c r="AN17" s="32">
        <f t="shared" si="23"/>
        <v>25.584699745780082</v>
      </c>
      <c r="AO17" s="32">
        <f t="shared" si="24"/>
        <v>25.957200169479929</v>
      </c>
      <c r="AP17" s="32">
        <f t="shared" si="25"/>
        <v>25.659199830520048</v>
      </c>
      <c r="AQ17" s="32">
        <f t="shared" si="26"/>
        <v>25.882700084739959</v>
      </c>
      <c r="AR17" s="32">
        <f t="shared" si="27"/>
        <v>25.733699915260019</v>
      </c>
      <c r="AS17" s="33">
        <f t="shared" si="44"/>
        <v>0.23999999999999844</v>
      </c>
      <c r="AT17" s="34">
        <f t="shared" si="45"/>
        <v>6.6666666666666249E-2</v>
      </c>
      <c r="AU17" s="34">
        <f t="shared" si="46"/>
        <v>0</v>
      </c>
      <c r="AV17" s="34">
        <f t="shared" si="47"/>
        <v>0.21790666666666531</v>
      </c>
      <c r="AZ17" s="16">
        <v>10</v>
      </c>
      <c r="BA17" s="35">
        <v>25.63</v>
      </c>
      <c r="BB17" s="32">
        <f t="shared" si="28"/>
        <v>25.750800000000005</v>
      </c>
      <c r="BC17" s="32">
        <f t="shared" si="29"/>
        <v>5.7272695206019339E-2</v>
      </c>
      <c r="BD17" s="32">
        <f t="shared" si="30"/>
        <v>25.922618085618062</v>
      </c>
      <c r="BE17" s="32">
        <f t="shared" si="31"/>
        <v>25.578981914381949</v>
      </c>
      <c r="BF17" s="32">
        <f t="shared" si="32"/>
        <v>25.865345390412045</v>
      </c>
      <c r="BG17" s="32">
        <f t="shared" si="33"/>
        <v>25.636254609587965</v>
      </c>
      <c r="BH17" s="32">
        <f t="shared" si="34"/>
        <v>25.808072695206025</v>
      </c>
      <c r="BI17" s="32">
        <f t="shared" si="35"/>
        <v>25.693527304793985</v>
      </c>
      <c r="BJ17" s="33">
        <f t="shared" si="48"/>
        <v>7.0000000000000284E-2</v>
      </c>
      <c r="BK17" s="34">
        <f t="shared" si="49"/>
        <v>3.6565656565656614E-2</v>
      </c>
      <c r="BL17" s="34">
        <f t="shared" si="50"/>
        <v>0</v>
      </c>
      <c r="BM17" s="34">
        <f t="shared" si="51"/>
        <v>0.11951850505050521</v>
      </c>
      <c r="BQ17" s="22">
        <v>10</v>
      </c>
      <c r="BR17" s="121" t="str">
        <f>IF(ISBLANK(Datos!B12),"",(ABS(Datos!B11-Datos!B12)))</f>
        <v/>
      </c>
      <c r="BS17" s="121" t="str">
        <f>IF(ISBLANK(Datos!C12),"",(ABS(Datos!C11-Datos!C12)))</f>
        <v/>
      </c>
      <c r="BT17" s="121" t="str">
        <f>IF(ISBLANK(Datos!D12),"",(ABS(Datos!D11-Datos!D12)))</f>
        <v/>
      </c>
      <c r="BU17" s="21" t="str">
        <f>IF(ISBLANK(Datos!E12),"",(ABS(Datos!E11-Datos!E12)))</f>
        <v/>
      </c>
    </row>
    <row r="18" spans="1:73" x14ac:dyDescent="0.3">
      <c r="A18" s="16">
        <v>11</v>
      </c>
      <c r="B18" s="35"/>
      <c r="C18" s="32" t="e">
        <f t="shared" si="4"/>
        <v>#DIV/0!</v>
      </c>
      <c r="D18" s="32" t="e">
        <f t="shared" si="5"/>
        <v>#DIV/0!</v>
      </c>
      <c r="E18" s="32" t="e">
        <f t="shared" si="6"/>
        <v>#DIV/0!</v>
      </c>
      <c r="F18" s="32" t="e">
        <f t="shared" si="7"/>
        <v>#DIV/0!</v>
      </c>
      <c r="G18" s="32" t="e">
        <f t="shared" si="8"/>
        <v>#DIV/0!</v>
      </c>
      <c r="H18" s="32" t="e">
        <f t="shared" si="9"/>
        <v>#DIV/0!</v>
      </c>
      <c r="I18" s="32" t="e">
        <f t="shared" si="10"/>
        <v>#DIV/0!</v>
      </c>
      <c r="J18" s="32" t="e">
        <f t="shared" si="11"/>
        <v>#DIV/0!</v>
      </c>
      <c r="K18" s="33">
        <f t="shared" si="36"/>
        <v>0</v>
      </c>
      <c r="L18" s="34">
        <f t="shared" si="37"/>
        <v>0</v>
      </c>
      <c r="M18" s="33">
        <f t="shared" si="38"/>
        <v>0</v>
      </c>
      <c r="N18" s="34">
        <f t="shared" si="39"/>
        <v>0</v>
      </c>
      <c r="R18" s="16">
        <v>11</v>
      </c>
      <c r="S18" s="49">
        <v>6.42</v>
      </c>
      <c r="T18" s="32">
        <f t="shared" si="12"/>
        <v>6.3964700000000017</v>
      </c>
      <c r="U18" s="32">
        <f t="shared" si="13"/>
        <v>4.3797618818166538E-2</v>
      </c>
      <c r="V18" s="32">
        <f t="shared" si="14"/>
        <v>6.5278628564545009</v>
      </c>
      <c r="W18" s="32">
        <f t="shared" si="15"/>
        <v>6.2650771435455024</v>
      </c>
      <c r="X18" s="32">
        <f t="shared" si="16"/>
        <v>6.4840652376363348</v>
      </c>
      <c r="Y18" s="32">
        <f t="shared" si="17"/>
        <v>6.3088747623636685</v>
      </c>
      <c r="Z18" s="32">
        <f t="shared" si="18"/>
        <v>6.4402676188181678</v>
      </c>
      <c r="AA18" s="32">
        <f t="shared" si="19"/>
        <v>6.3526723811818355</v>
      </c>
      <c r="AB18" s="33">
        <f t="shared" si="40"/>
        <v>0</v>
      </c>
      <c r="AC18" s="34">
        <f t="shared" si="41"/>
        <v>4.2444444444444479E-2</v>
      </c>
      <c r="AD18" s="33">
        <f t="shared" si="42"/>
        <v>0</v>
      </c>
      <c r="AE18" s="34">
        <f t="shared" si="43"/>
        <v>0.13873391111111122</v>
      </c>
      <c r="AI18" s="16">
        <v>11</v>
      </c>
      <c r="AJ18" s="35">
        <v>25.65</v>
      </c>
      <c r="AK18" s="32">
        <f t="shared" si="20"/>
        <v>25.808199999999989</v>
      </c>
      <c r="AL18" s="32">
        <f t="shared" si="21"/>
        <v>7.4500084739969288E-2</v>
      </c>
      <c r="AM18" s="32">
        <f t="shared" si="22"/>
        <v>26.031700254219896</v>
      </c>
      <c r="AN18" s="32">
        <f t="shared" si="23"/>
        <v>25.584699745780082</v>
      </c>
      <c r="AO18" s="32">
        <f t="shared" si="24"/>
        <v>25.957200169479929</v>
      </c>
      <c r="AP18" s="32">
        <f t="shared" si="25"/>
        <v>25.659199830520048</v>
      </c>
      <c r="AQ18" s="32">
        <f t="shared" si="26"/>
        <v>25.882700084739959</v>
      </c>
      <c r="AR18" s="32">
        <f t="shared" si="27"/>
        <v>25.733699915260019</v>
      </c>
      <c r="AS18" s="33">
        <f t="shared" si="44"/>
        <v>1.0000000000001563E-2</v>
      </c>
      <c r="AT18" s="34">
        <f t="shared" si="45"/>
        <v>6.6666666666666249E-2</v>
      </c>
      <c r="AU18" s="34">
        <f t="shared" si="46"/>
        <v>0</v>
      </c>
      <c r="AV18" s="34">
        <f t="shared" si="47"/>
        <v>0.21790666666666531</v>
      </c>
      <c r="AZ18" s="16">
        <v>11</v>
      </c>
      <c r="BA18" s="35">
        <v>25.7</v>
      </c>
      <c r="BB18" s="32">
        <f t="shared" si="28"/>
        <v>25.750800000000005</v>
      </c>
      <c r="BC18" s="32">
        <f t="shared" si="29"/>
        <v>5.7272695206019339E-2</v>
      </c>
      <c r="BD18" s="32">
        <f t="shared" si="30"/>
        <v>25.922618085618062</v>
      </c>
      <c r="BE18" s="32">
        <f t="shared" si="31"/>
        <v>25.578981914381949</v>
      </c>
      <c r="BF18" s="32">
        <f t="shared" si="32"/>
        <v>25.865345390412045</v>
      </c>
      <c r="BG18" s="32">
        <f t="shared" si="33"/>
        <v>25.636254609587965</v>
      </c>
      <c r="BH18" s="32">
        <f t="shared" si="34"/>
        <v>25.808072695206025</v>
      </c>
      <c r="BI18" s="32">
        <f t="shared" si="35"/>
        <v>25.693527304793985</v>
      </c>
      <c r="BJ18" s="33">
        <f t="shared" si="48"/>
        <v>7.0000000000000284E-2</v>
      </c>
      <c r="BK18" s="34">
        <f t="shared" si="49"/>
        <v>3.6565656565656614E-2</v>
      </c>
      <c r="BL18" s="34">
        <f t="shared" si="50"/>
        <v>0</v>
      </c>
      <c r="BM18" s="34">
        <f t="shared" si="51"/>
        <v>0.11951850505050521</v>
      </c>
      <c r="BQ18" s="22">
        <v>11</v>
      </c>
      <c r="BR18" s="121" t="str">
        <f>IF(ISBLANK(Datos!B13),"",(ABS(Datos!B12-Datos!B13)))</f>
        <v/>
      </c>
      <c r="BS18" s="121" t="str">
        <f>IF(ISBLANK(Datos!C13),"",(ABS(Datos!C12-Datos!C13)))</f>
        <v/>
      </c>
      <c r="BT18" s="121" t="str">
        <f>IF(ISBLANK(Datos!D13),"",(ABS(Datos!D12-Datos!D13)))</f>
        <v/>
      </c>
      <c r="BU18" s="21" t="str">
        <f>IF(ISBLANK(Datos!E13),"",(ABS(Datos!E12-Datos!E13)))</f>
        <v/>
      </c>
    </row>
    <row r="19" spans="1:73" x14ac:dyDescent="0.3">
      <c r="A19" s="16">
        <v>12</v>
      </c>
      <c r="B19" s="35"/>
      <c r="C19" s="32" t="e">
        <f t="shared" si="4"/>
        <v>#DIV/0!</v>
      </c>
      <c r="D19" s="32" t="e">
        <f t="shared" si="5"/>
        <v>#DIV/0!</v>
      </c>
      <c r="E19" s="32" t="e">
        <f t="shared" si="6"/>
        <v>#DIV/0!</v>
      </c>
      <c r="F19" s="32" t="e">
        <f t="shared" si="7"/>
        <v>#DIV/0!</v>
      </c>
      <c r="G19" s="32" t="e">
        <f t="shared" si="8"/>
        <v>#DIV/0!</v>
      </c>
      <c r="H19" s="32" t="e">
        <f t="shared" si="9"/>
        <v>#DIV/0!</v>
      </c>
      <c r="I19" s="32" t="e">
        <f t="shared" si="10"/>
        <v>#DIV/0!</v>
      </c>
      <c r="J19" s="32" t="e">
        <f t="shared" si="11"/>
        <v>#DIV/0!</v>
      </c>
      <c r="K19" s="33">
        <f t="shared" si="36"/>
        <v>0</v>
      </c>
      <c r="L19" s="34">
        <f t="shared" si="37"/>
        <v>0</v>
      </c>
      <c r="M19" s="33">
        <f t="shared" si="38"/>
        <v>0</v>
      </c>
      <c r="N19" s="34">
        <f t="shared" si="39"/>
        <v>0</v>
      </c>
      <c r="R19" s="16">
        <v>12</v>
      </c>
      <c r="S19" s="49">
        <v>6.43</v>
      </c>
      <c r="T19" s="32">
        <f t="shared" si="12"/>
        <v>6.3964700000000017</v>
      </c>
      <c r="U19" s="32">
        <f t="shared" si="13"/>
        <v>4.3797618818166538E-2</v>
      </c>
      <c r="V19" s="32">
        <f t="shared" si="14"/>
        <v>6.5278628564545009</v>
      </c>
      <c r="W19" s="32">
        <f t="shared" si="15"/>
        <v>6.2650771435455024</v>
      </c>
      <c r="X19" s="32">
        <f t="shared" si="16"/>
        <v>6.4840652376363348</v>
      </c>
      <c r="Y19" s="32">
        <f t="shared" si="17"/>
        <v>6.3088747623636685</v>
      </c>
      <c r="Z19" s="32">
        <f t="shared" si="18"/>
        <v>6.4402676188181678</v>
      </c>
      <c r="AA19" s="32">
        <f t="shared" si="19"/>
        <v>6.3526723811818355</v>
      </c>
      <c r="AB19" s="33">
        <f t="shared" si="40"/>
        <v>9.9999999999997868E-3</v>
      </c>
      <c r="AC19" s="34">
        <f t="shared" si="41"/>
        <v>4.2444444444444479E-2</v>
      </c>
      <c r="AD19" s="33">
        <f t="shared" si="42"/>
        <v>0</v>
      </c>
      <c r="AE19" s="34">
        <f t="shared" si="43"/>
        <v>0.13873391111111122</v>
      </c>
      <c r="AI19" s="16">
        <v>12</v>
      </c>
      <c r="AJ19" s="35">
        <v>25.83</v>
      </c>
      <c r="AK19" s="32">
        <f t="shared" si="20"/>
        <v>25.808199999999989</v>
      </c>
      <c r="AL19" s="32">
        <f t="shared" si="21"/>
        <v>7.4500084739969288E-2</v>
      </c>
      <c r="AM19" s="32">
        <f t="shared" si="22"/>
        <v>26.031700254219896</v>
      </c>
      <c r="AN19" s="32">
        <f t="shared" si="23"/>
        <v>25.584699745780082</v>
      </c>
      <c r="AO19" s="32">
        <f t="shared" si="24"/>
        <v>25.957200169479929</v>
      </c>
      <c r="AP19" s="32">
        <f t="shared" si="25"/>
        <v>25.659199830520048</v>
      </c>
      <c r="AQ19" s="32">
        <f t="shared" si="26"/>
        <v>25.882700084739959</v>
      </c>
      <c r="AR19" s="32">
        <f t="shared" si="27"/>
        <v>25.733699915260019</v>
      </c>
      <c r="AS19" s="33">
        <f t="shared" si="44"/>
        <v>0.17999999999999972</v>
      </c>
      <c r="AT19" s="34">
        <f t="shared" si="45"/>
        <v>6.6666666666666249E-2</v>
      </c>
      <c r="AU19" s="34">
        <f t="shared" si="46"/>
        <v>0</v>
      </c>
      <c r="AV19" s="34">
        <f t="shared" si="47"/>
        <v>0.21790666666666531</v>
      </c>
      <c r="AZ19" s="16">
        <v>12</v>
      </c>
      <c r="BA19" s="35">
        <v>25.7</v>
      </c>
      <c r="BB19" s="32">
        <f t="shared" si="28"/>
        <v>25.750800000000005</v>
      </c>
      <c r="BC19" s="32">
        <f t="shared" si="29"/>
        <v>5.7272695206019339E-2</v>
      </c>
      <c r="BD19" s="32">
        <f t="shared" si="30"/>
        <v>25.922618085618062</v>
      </c>
      <c r="BE19" s="32">
        <f t="shared" si="31"/>
        <v>25.578981914381949</v>
      </c>
      <c r="BF19" s="32">
        <f t="shared" si="32"/>
        <v>25.865345390412045</v>
      </c>
      <c r="BG19" s="32">
        <f t="shared" si="33"/>
        <v>25.636254609587965</v>
      </c>
      <c r="BH19" s="32">
        <f t="shared" si="34"/>
        <v>25.808072695206025</v>
      </c>
      <c r="BI19" s="32">
        <f t="shared" si="35"/>
        <v>25.693527304793985</v>
      </c>
      <c r="BJ19" s="33">
        <f t="shared" si="48"/>
        <v>0</v>
      </c>
      <c r="BK19" s="34">
        <f t="shared" si="49"/>
        <v>3.6565656565656614E-2</v>
      </c>
      <c r="BL19" s="34">
        <f t="shared" si="50"/>
        <v>0</v>
      </c>
      <c r="BM19" s="34">
        <f t="shared" si="51"/>
        <v>0.11951850505050521</v>
      </c>
      <c r="BQ19" s="22">
        <v>12</v>
      </c>
      <c r="BR19" s="121" t="str">
        <f>IF(ISBLANK(Datos!B14),"",(ABS(Datos!B13-Datos!B14)))</f>
        <v/>
      </c>
      <c r="BS19" s="121" t="str">
        <f>IF(ISBLANK(Datos!C14),"",(ABS(Datos!C13-Datos!C14)))</f>
        <v/>
      </c>
      <c r="BT19" s="121" t="str">
        <f>IF(ISBLANK(Datos!D14),"",(ABS(Datos!D13-Datos!D14)))</f>
        <v/>
      </c>
      <c r="BU19" s="21" t="str">
        <f>IF(ISBLANK(Datos!E14),"",(ABS(Datos!E13-Datos!E14)))</f>
        <v/>
      </c>
    </row>
    <row r="20" spans="1:73" x14ac:dyDescent="0.3">
      <c r="A20" s="16">
        <v>13</v>
      </c>
      <c r="B20" s="35"/>
      <c r="C20" s="32" t="e">
        <f t="shared" si="4"/>
        <v>#DIV/0!</v>
      </c>
      <c r="D20" s="32" t="e">
        <f t="shared" si="5"/>
        <v>#DIV/0!</v>
      </c>
      <c r="E20" s="32" t="e">
        <f t="shared" si="6"/>
        <v>#DIV/0!</v>
      </c>
      <c r="F20" s="32" t="e">
        <f t="shared" si="7"/>
        <v>#DIV/0!</v>
      </c>
      <c r="G20" s="32" t="e">
        <f t="shared" si="8"/>
        <v>#DIV/0!</v>
      </c>
      <c r="H20" s="32" t="e">
        <f t="shared" si="9"/>
        <v>#DIV/0!</v>
      </c>
      <c r="I20" s="32" t="e">
        <f t="shared" si="10"/>
        <v>#DIV/0!</v>
      </c>
      <c r="J20" s="32" t="e">
        <f t="shared" si="11"/>
        <v>#DIV/0!</v>
      </c>
      <c r="K20" s="33">
        <f t="shared" si="36"/>
        <v>0</v>
      </c>
      <c r="L20" s="34">
        <f t="shared" si="37"/>
        <v>0</v>
      </c>
      <c r="M20" s="33">
        <f t="shared" si="38"/>
        <v>0</v>
      </c>
      <c r="N20" s="34">
        <f t="shared" si="39"/>
        <v>0</v>
      </c>
      <c r="R20" s="16">
        <v>13</v>
      </c>
      <c r="S20" s="35">
        <v>6.45</v>
      </c>
      <c r="T20" s="32">
        <f t="shared" si="12"/>
        <v>6.3964700000000017</v>
      </c>
      <c r="U20" s="32">
        <f t="shared" si="13"/>
        <v>4.3797618818166538E-2</v>
      </c>
      <c r="V20" s="32">
        <f t="shared" si="14"/>
        <v>6.5278628564545009</v>
      </c>
      <c r="W20" s="32">
        <f t="shared" si="15"/>
        <v>6.2650771435455024</v>
      </c>
      <c r="X20" s="32">
        <f t="shared" si="16"/>
        <v>6.4840652376363348</v>
      </c>
      <c r="Y20" s="32">
        <f t="shared" si="17"/>
        <v>6.3088747623636685</v>
      </c>
      <c r="Z20" s="32">
        <f t="shared" si="18"/>
        <v>6.4402676188181678</v>
      </c>
      <c r="AA20" s="32">
        <f t="shared" si="19"/>
        <v>6.3526723811818355</v>
      </c>
      <c r="AB20" s="33">
        <f t="shared" si="40"/>
        <v>2.0000000000000462E-2</v>
      </c>
      <c r="AC20" s="34">
        <f t="shared" si="41"/>
        <v>4.2444444444444479E-2</v>
      </c>
      <c r="AD20" s="33">
        <f t="shared" si="42"/>
        <v>0</v>
      </c>
      <c r="AE20" s="34">
        <f t="shared" si="43"/>
        <v>0.13873391111111122</v>
      </c>
      <c r="AI20" s="16">
        <v>13</v>
      </c>
      <c r="AJ20" s="35">
        <v>25.9</v>
      </c>
      <c r="AK20" s="32">
        <f t="shared" si="20"/>
        <v>25.808199999999989</v>
      </c>
      <c r="AL20" s="32">
        <f t="shared" si="21"/>
        <v>7.4500084739969288E-2</v>
      </c>
      <c r="AM20" s="32">
        <f t="shared" si="22"/>
        <v>26.031700254219896</v>
      </c>
      <c r="AN20" s="32">
        <f t="shared" si="23"/>
        <v>25.584699745780082</v>
      </c>
      <c r="AO20" s="32">
        <f t="shared" si="24"/>
        <v>25.957200169479929</v>
      </c>
      <c r="AP20" s="32">
        <f t="shared" si="25"/>
        <v>25.659199830520048</v>
      </c>
      <c r="AQ20" s="32">
        <f t="shared" si="26"/>
        <v>25.882700084739959</v>
      </c>
      <c r="AR20" s="32">
        <f t="shared" si="27"/>
        <v>25.733699915260019</v>
      </c>
      <c r="AS20" s="33">
        <f t="shared" si="44"/>
        <v>7.0000000000000284E-2</v>
      </c>
      <c r="AT20" s="34">
        <f t="shared" si="45"/>
        <v>6.6666666666666249E-2</v>
      </c>
      <c r="AU20" s="34">
        <f t="shared" si="46"/>
        <v>0</v>
      </c>
      <c r="AV20" s="34">
        <f t="shared" si="47"/>
        <v>0.21790666666666531</v>
      </c>
      <c r="AZ20" s="16">
        <v>13</v>
      </c>
      <c r="BA20" s="35">
        <v>25.77</v>
      </c>
      <c r="BB20" s="32">
        <f t="shared" si="28"/>
        <v>25.750800000000005</v>
      </c>
      <c r="BC20" s="32">
        <f t="shared" si="29"/>
        <v>5.7272695206019339E-2</v>
      </c>
      <c r="BD20" s="32">
        <f t="shared" si="30"/>
        <v>25.922618085618062</v>
      </c>
      <c r="BE20" s="32">
        <f t="shared" si="31"/>
        <v>25.578981914381949</v>
      </c>
      <c r="BF20" s="32">
        <f t="shared" si="32"/>
        <v>25.865345390412045</v>
      </c>
      <c r="BG20" s="32">
        <f t="shared" si="33"/>
        <v>25.636254609587965</v>
      </c>
      <c r="BH20" s="32">
        <f t="shared" si="34"/>
        <v>25.808072695206025</v>
      </c>
      <c r="BI20" s="32">
        <f t="shared" si="35"/>
        <v>25.693527304793985</v>
      </c>
      <c r="BJ20" s="33">
        <f t="shared" si="48"/>
        <v>7.0000000000000284E-2</v>
      </c>
      <c r="BK20" s="34">
        <f t="shared" si="49"/>
        <v>3.6565656565656614E-2</v>
      </c>
      <c r="BL20" s="34">
        <f t="shared" si="50"/>
        <v>0</v>
      </c>
      <c r="BM20" s="34">
        <f t="shared" si="51"/>
        <v>0.11951850505050521</v>
      </c>
      <c r="BQ20" s="22">
        <v>13</v>
      </c>
      <c r="BR20" s="121" t="str">
        <f>IF(ISBLANK(Datos!B15),"",(ABS(Datos!B14-Datos!B15)))</f>
        <v/>
      </c>
      <c r="BS20" s="121" t="str">
        <f>IF(ISBLANK(Datos!C15),"",(ABS(Datos!C14-Datos!C15)))</f>
        <v/>
      </c>
      <c r="BT20" s="121" t="str">
        <f>IF(ISBLANK(Datos!D15),"",(ABS(Datos!D14-Datos!D15)))</f>
        <v/>
      </c>
      <c r="BU20" s="21" t="str">
        <f>IF(ISBLANK(Datos!E15),"",(ABS(Datos!E14-Datos!E15)))</f>
        <v/>
      </c>
    </row>
    <row r="21" spans="1:73" x14ac:dyDescent="0.3">
      <c r="A21" s="16">
        <v>14</v>
      </c>
      <c r="B21" s="35"/>
      <c r="C21" s="32" t="e">
        <f t="shared" si="4"/>
        <v>#DIV/0!</v>
      </c>
      <c r="D21" s="32" t="e">
        <f t="shared" si="5"/>
        <v>#DIV/0!</v>
      </c>
      <c r="E21" s="32" t="e">
        <f t="shared" si="6"/>
        <v>#DIV/0!</v>
      </c>
      <c r="F21" s="32" t="e">
        <f t="shared" si="7"/>
        <v>#DIV/0!</v>
      </c>
      <c r="G21" s="32" t="e">
        <f t="shared" si="8"/>
        <v>#DIV/0!</v>
      </c>
      <c r="H21" s="32" t="e">
        <f t="shared" si="9"/>
        <v>#DIV/0!</v>
      </c>
      <c r="I21" s="32" t="e">
        <f t="shared" si="10"/>
        <v>#DIV/0!</v>
      </c>
      <c r="J21" s="32" t="e">
        <f t="shared" si="11"/>
        <v>#DIV/0!</v>
      </c>
      <c r="K21" s="33">
        <f t="shared" si="36"/>
        <v>0</v>
      </c>
      <c r="L21" s="34">
        <f t="shared" si="37"/>
        <v>0</v>
      </c>
      <c r="M21" s="33">
        <f t="shared" si="38"/>
        <v>0</v>
      </c>
      <c r="N21" s="34">
        <f t="shared" si="39"/>
        <v>0</v>
      </c>
      <c r="R21" s="16">
        <v>14</v>
      </c>
      <c r="S21" s="35">
        <v>6.48</v>
      </c>
      <c r="T21" s="32">
        <f t="shared" si="12"/>
        <v>6.3964700000000017</v>
      </c>
      <c r="U21" s="32">
        <f t="shared" si="13"/>
        <v>4.3797618818166538E-2</v>
      </c>
      <c r="V21" s="32">
        <f t="shared" si="14"/>
        <v>6.5278628564545009</v>
      </c>
      <c r="W21" s="32">
        <f t="shared" si="15"/>
        <v>6.2650771435455024</v>
      </c>
      <c r="X21" s="32">
        <f t="shared" si="16"/>
        <v>6.4840652376363348</v>
      </c>
      <c r="Y21" s="32">
        <f t="shared" si="17"/>
        <v>6.3088747623636685</v>
      </c>
      <c r="Z21" s="32">
        <f t="shared" si="18"/>
        <v>6.4402676188181678</v>
      </c>
      <c r="AA21" s="32">
        <f t="shared" si="19"/>
        <v>6.3526723811818355</v>
      </c>
      <c r="AB21" s="33">
        <f t="shared" si="40"/>
        <v>3.0000000000000249E-2</v>
      </c>
      <c r="AC21" s="34">
        <f t="shared" si="41"/>
        <v>4.2444444444444479E-2</v>
      </c>
      <c r="AD21" s="33">
        <f t="shared" si="42"/>
        <v>0</v>
      </c>
      <c r="AE21" s="34">
        <f t="shared" si="43"/>
        <v>0.13873391111111122</v>
      </c>
      <c r="AI21" s="16">
        <v>14</v>
      </c>
      <c r="AJ21" s="35">
        <v>25.84</v>
      </c>
      <c r="AK21" s="32">
        <f t="shared" si="20"/>
        <v>25.808199999999989</v>
      </c>
      <c r="AL21" s="32">
        <f t="shared" si="21"/>
        <v>7.4500084739969288E-2</v>
      </c>
      <c r="AM21" s="32">
        <f t="shared" si="22"/>
        <v>26.031700254219896</v>
      </c>
      <c r="AN21" s="32">
        <f t="shared" si="23"/>
        <v>25.584699745780082</v>
      </c>
      <c r="AO21" s="32">
        <f t="shared" si="24"/>
        <v>25.957200169479929</v>
      </c>
      <c r="AP21" s="32">
        <f t="shared" si="25"/>
        <v>25.659199830520048</v>
      </c>
      <c r="AQ21" s="32">
        <f t="shared" si="26"/>
        <v>25.882700084739959</v>
      </c>
      <c r="AR21" s="32">
        <f t="shared" si="27"/>
        <v>25.733699915260019</v>
      </c>
      <c r="AS21" s="33">
        <f t="shared" si="44"/>
        <v>5.9999999999998721E-2</v>
      </c>
      <c r="AT21" s="34">
        <f t="shared" si="45"/>
        <v>6.6666666666666249E-2</v>
      </c>
      <c r="AU21" s="34">
        <f t="shared" si="46"/>
        <v>0</v>
      </c>
      <c r="AV21" s="34">
        <f t="shared" si="47"/>
        <v>0.21790666666666531</v>
      </c>
      <c r="AZ21" s="16">
        <v>14</v>
      </c>
      <c r="BA21" s="35">
        <v>25.72</v>
      </c>
      <c r="BB21" s="32">
        <f t="shared" si="28"/>
        <v>25.750800000000005</v>
      </c>
      <c r="BC21" s="32">
        <f t="shared" si="29"/>
        <v>5.7272695206019339E-2</v>
      </c>
      <c r="BD21" s="32">
        <f t="shared" si="30"/>
        <v>25.922618085618062</v>
      </c>
      <c r="BE21" s="32">
        <f t="shared" si="31"/>
        <v>25.578981914381949</v>
      </c>
      <c r="BF21" s="32">
        <f t="shared" si="32"/>
        <v>25.865345390412045</v>
      </c>
      <c r="BG21" s="32">
        <f t="shared" si="33"/>
        <v>25.636254609587965</v>
      </c>
      <c r="BH21" s="32">
        <f t="shared" si="34"/>
        <v>25.808072695206025</v>
      </c>
      <c r="BI21" s="32">
        <f t="shared" si="35"/>
        <v>25.693527304793985</v>
      </c>
      <c r="BJ21" s="33">
        <f t="shared" si="48"/>
        <v>5.0000000000000711E-2</v>
      </c>
      <c r="BK21" s="34">
        <f t="shared" si="49"/>
        <v>3.6565656565656614E-2</v>
      </c>
      <c r="BL21" s="34">
        <f t="shared" si="50"/>
        <v>0</v>
      </c>
      <c r="BM21" s="34">
        <f t="shared" si="51"/>
        <v>0.11951850505050521</v>
      </c>
      <c r="BQ21" s="22">
        <v>14</v>
      </c>
      <c r="BR21" s="121" t="str">
        <f>IF(ISBLANK(Datos!B16),"",(ABS(Datos!B15-Datos!B16)))</f>
        <v/>
      </c>
      <c r="BS21" s="121" t="str">
        <f>IF(ISBLANK(Datos!C16),"",(ABS(Datos!C15-Datos!C16)))</f>
        <v/>
      </c>
      <c r="BT21" s="121" t="str">
        <f>IF(ISBLANK(Datos!D16),"",(ABS(Datos!D15-Datos!D16)))</f>
        <v/>
      </c>
      <c r="BU21" s="21" t="str">
        <f>IF(ISBLANK(Datos!E16),"",(ABS(Datos!E15-Datos!E16)))</f>
        <v/>
      </c>
    </row>
    <row r="22" spans="1:73" x14ac:dyDescent="0.3">
      <c r="A22" s="16">
        <v>15</v>
      </c>
      <c r="B22" s="35"/>
      <c r="C22" s="32" t="e">
        <f t="shared" si="4"/>
        <v>#DIV/0!</v>
      </c>
      <c r="D22" s="32" t="e">
        <f t="shared" si="5"/>
        <v>#DIV/0!</v>
      </c>
      <c r="E22" s="32" t="e">
        <f t="shared" si="6"/>
        <v>#DIV/0!</v>
      </c>
      <c r="F22" s="32" t="e">
        <f t="shared" si="7"/>
        <v>#DIV/0!</v>
      </c>
      <c r="G22" s="32" t="e">
        <f t="shared" si="8"/>
        <v>#DIV/0!</v>
      </c>
      <c r="H22" s="32" t="e">
        <f t="shared" si="9"/>
        <v>#DIV/0!</v>
      </c>
      <c r="I22" s="32" t="e">
        <f t="shared" si="10"/>
        <v>#DIV/0!</v>
      </c>
      <c r="J22" s="32" t="e">
        <f t="shared" si="11"/>
        <v>#DIV/0!</v>
      </c>
      <c r="K22" s="33">
        <f t="shared" si="36"/>
        <v>0</v>
      </c>
      <c r="L22" s="34">
        <f t="shared" si="37"/>
        <v>0</v>
      </c>
      <c r="M22" s="33">
        <f t="shared" si="38"/>
        <v>0</v>
      </c>
      <c r="N22" s="34">
        <f t="shared" si="39"/>
        <v>0</v>
      </c>
      <c r="R22" s="16">
        <v>15</v>
      </c>
      <c r="S22" s="35">
        <v>6.43</v>
      </c>
      <c r="T22" s="32">
        <f t="shared" si="12"/>
        <v>6.3964700000000017</v>
      </c>
      <c r="U22" s="32">
        <f t="shared" si="13"/>
        <v>4.3797618818166538E-2</v>
      </c>
      <c r="V22" s="32">
        <f t="shared" si="14"/>
        <v>6.5278628564545009</v>
      </c>
      <c r="W22" s="32">
        <f t="shared" si="15"/>
        <v>6.2650771435455024</v>
      </c>
      <c r="X22" s="32">
        <f t="shared" si="16"/>
        <v>6.4840652376363348</v>
      </c>
      <c r="Y22" s="32">
        <f t="shared" si="17"/>
        <v>6.3088747623636685</v>
      </c>
      <c r="Z22" s="32">
        <f t="shared" si="18"/>
        <v>6.4402676188181678</v>
      </c>
      <c r="AA22" s="32">
        <f t="shared" si="19"/>
        <v>6.3526723811818355</v>
      </c>
      <c r="AB22" s="33">
        <f t="shared" si="40"/>
        <v>5.0000000000000711E-2</v>
      </c>
      <c r="AC22" s="34">
        <f t="shared" si="41"/>
        <v>4.2444444444444479E-2</v>
      </c>
      <c r="AD22" s="33">
        <f t="shared" si="42"/>
        <v>0</v>
      </c>
      <c r="AE22" s="34">
        <f t="shared" si="43"/>
        <v>0.13873391111111122</v>
      </c>
      <c r="AI22" s="16">
        <v>15</v>
      </c>
      <c r="AJ22" s="35">
        <v>25.88</v>
      </c>
      <c r="AK22" s="32">
        <f t="shared" si="20"/>
        <v>25.808199999999989</v>
      </c>
      <c r="AL22" s="32">
        <f t="shared" si="21"/>
        <v>7.4500084739969288E-2</v>
      </c>
      <c r="AM22" s="32">
        <f t="shared" si="22"/>
        <v>26.031700254219896</v>
      </c>
      <c r="AN22" s="32">
        <f t="shared" si="23"/>
        <v>25.584699745780082</v>
      </c>
      <c r="AO22" s="32">
        <f t="shared" si="24"/>
        <v>25.957200169479929</v>
      </c>
      <c r="AP22" s="32">
        <f t="shared" si="25"/>
        <v>25.659199830520048</v>
      </c>
      <c r="AQ22" s="32">
        <f t="shared" si="26"/>
        <v>25.882700084739959</v>
      </c>
      <c r="AR22" s="32">
        <f t="shared" si="27"/>
        <v>25.733699915260019</v>
      </c>
      <c r="AS22" s="33">
        <f t="shared" si="44"/>
        <v>3.9999999999999147E-2</v>
      </c>
      <c r="AT22" s="34">
        <f t="shared" si="45"/>
        <v>6.6666666666666249E-2</v>
      </c>
      <c r="AU22" s="34">
        <f t="shared" si="46"/>
        <v>0</v>
      </c>
      <c r="AV22" s="34">
        <f t="shared" si="47"/>
        <v>0.21790666666666531</v>
      </c>
      <c r="AZ22" s="16">
        <v>15</v>
      </c>
      <c r="BA22" s="35">
        <v>25.73</v>
      </c>
      <c r="BB22" s="32">
        <f t="shared" si="28"/>
        <v>25.750800000000005</v>
      </c>
      <c r="BC22" s="32">
        <f t="shared" si="29"/>
        <v>5.7272695206019339E-2</v>
      </c>
      <c r="BD22" s="32">
        <f t="shared" si="30"/>
        <v>25.922618085618062</v>
      </c>
      <c r="BE22" s="32">
        <f t="shared" si="31"/>
        <v>25.578981914381949</v>
      </c>
      <c r="BF22" s="32">
        <f t="shared" si="32"/>
        <v>25.865345390412045</v>
      </c>
      <c r="BG22" s="32">
        <f t="shared" si="33"/>
        <v>25.636254609587965</v>
      </c>
      <c r="BH22" s="32">
        <f t="shared" si="34"/>
        <v>25.808072695206025</v>
      </c>
      <c r="BI22" s="32">
        <f t="shared" si="35"/>
        <v>25.693527304793985</v>
      </c>
      <c r="BJ22" s="33">
        <f t="shared" si="48"/>
        <v>1.0000000000001563E-2</v>
      </c>
      <c r="BK22" s="34">
        <f t="shared" si="49"/>
        <v>3.6565656565656614E-2</v>
      </c>
      <c r="BL22" s="34">
        <f t="shared" si="50"/>
        <v>0</v>
      </c>
      <c r="BM22" s="34">
        <f t="shared" si="51"/>
        <v>0.11951850505050521</v>
      </c>
      <c r="BQ22" s="22">
        <v>15</v>
      </c>
      <c r="BR22" s="121" t="str">
        <f>IF(ISBLANK(Datos!B17),"",(ABS(Datos!B16-Datos!B17)))</f>
        <v/>
      </c>
      <c r="BS22" s="121" t="str">
        <f>IF(ISBLANK(Datos!C17),"",(ABS(Datos!C16-Datos!C17)))</f>
        <v/>
      </c>
      <c r="BT22" s="121" t="str">
        <f>IF(ISBLANK(Datos!D17),"",(ABS(Datos!D16-Datos!D17)))</f>
        <v/>
      </c>
      <c r="BU22" s="21" t="str">
        <f>IF(ISBLANK(Datos!E17),"",(ABS(Datos!E16-Datos!E17)))</f>
        <v/>
      </c>
    </row>
    <row r="23" spans="1:73" x14ac:dyDescent="0.3">
      <c r="A23" s="16">
        <v>16</v>
      </c>
      <c r="B23" s="35"/>
      <c r="C23" s="32" t="e">
        <f t="shared" si="4"/>
        <v>#DIV/0!</v>
      </c>
      <c r="D23" s="32" t="e">
        <f t="shared" si="5"/>
        <v>#DIV/0!</v>
      </c>
      <c r="E23" s="32" t="e">
        <f t="shared" si="6"/>
        <v>#DIV/0!</v>
      </c>
      <c r="F23" s="32" t="e">
        <f t="shared" si="7"/>
        <v>#DIV/0!</v>
      </c>
      <c r="G23" s="32" t="e">
        <f t="shared" si="8"/>
        <v>#DIV/0!</v>
      </c>
      <c r="H23" s="32" t="e">
        <f t="shared" si="9"/>
        <v>#DIV/0!</v>
      </c>
      <c r="I23" s="32" t="e">
        <f t="shared" si="10"/>
        <v>#DIV/0!</v>
      </c>
      <c r="J23" s="32" t="e">
        <f t="shared" si="11"/>
        <v>#DIV/0!</v>
      </c>
      <c r="K23" s="33">
        <f t="shared" si="36"/>
        <v>0</v>
      </c>
      <c r="L23" s="34">
        <f t="shared" si="37"/>
        <v>0</v>
      </c>
      <c r="M23" s="33">
        <f t="shared" si="38"/>
        <v>0</v>
      </c>
      <c r="N23" s="34">
        <f t="shared" si="39"/>
        <v>0</v>
      </c>
      <c r="R23" s="16">
        <v>16</v>
      </c>
      <c r="S23" s="35">
        <v>6.39</v>
      </c>
      <c r="T23" s="32">
        <f t="shared" si="12"/>
        <v>6.3964700000000017</v>
      </c>
      <c r="U23" s="32">
        <f t="shared" si="13"/>
        <v>4.3797618818166538E-2</v>
      </c>
      <c r="V23" s="32">
        <f t="shared" si="14"/>
        <v>6.5278628564545009</v>
      </c>
      <c r="W23" s="32">
        <f t="shared" si="15"/>
        <v>6.2650771435455024</v>
      </c>
      <c r="X23" s="32">
        <f t="shared" si="16"/>
        <v>6.4840652376363348</v>
      </c>
      <c r="Y23" s="32">
        <f t="shared" si="17"/>
        <v>6.3088747623636685</v>
      </c>
      <c r="Z23" s="32">
        <f t="shared" si="18"/>
        <v>6.4402676188181678</v>
      </c>
      <c r="AA23" s="32">
        <f t="shared" si="19"/>
        <v>6.3526723811818355</v>
      </c>
      <c r="AB23" s="33">
        <f t="shared" si="40"/>
        <v>4.0000000000000036E-2</v>
      </c>
      <c r="AC23" s="34">
        <f t="shared" si="41"/>
        <v>4.2444444444444479E-2</v>
      </c>
      <c r="AD23" s="33">
        <f t="shared" si="42"/>
        <v>0</v>
      </c>
      <c r="AE23" s="34">
        <f t="shared" si="43"/>
        <v>0.13873391111111122</v>
      </c>
      <c r="AI23" s="16">
        <v>16</v>
      </c>
      <c r="AJ23" s="35">
        <v>25.87</v>
      </c>
      <c r="AK23" s="32">
        <f t="shared" si="20"/>
        <v>25.808199999999989</v>
      </c>
      <c r="AL23" s="32">
        <f t="shared" si="21"/>
        <v>7.4500084739969288E-2</v>
      </c>
      <c r="AM23" s="32">
        <f t="shared" si="22"/>
        <v>26.031700254219896</v>
      </c>
      <c r="AN23" s="32">
        <f t="shared" si="23"/>
        <v>25.584699745780082</v>
      </c>
      <c r="AO23" s="32">
        <f t="shared" si="24"/>
        <v>25.957200169479929</v>
      </c>
      <c r="AP23" s="32">
        <f t="shared" si="25"/>
        <v>25.659199830520048</v>
      </c>
      <c r="AQ23" s="32">
        <f t="shared" si="26"/>
        <v>25.882700084739959</v>
      </c>
      <c r="AR23" s="32">
        <f t="shared" si="27"/>
        <v>25.733699915260019</v>
      </c>
      <c r="AS23" s="33">
        <f t="shared" si="44"/>
        <v>9.9999999999980105E-3</v>
      </c>
      <c r="AT23" s="34">
        <f t="shared" si="45"/>
        <v>6.6666666666666249E-2</v>
      </c>
      <c r="AU23" s="34">
        <f t="shared" si="46"/>
        <v>0</v>
      </c>
      <c r="AV23" s="34">
        <f t="shared" si="47"/>
        <v>0.21790666666666531</v>
      </c>
      <c r="AZ23" s="16">
        <v>16</v>
      </c>
      <c r="BA23" s="35">
        <v>25.74</v>
      </c>
      <c r="BB23" s="32">
        <f t="shared" si="28"/>
        <v>25.750800000000005</v>
      </c>
      <c r="BC23" s="32">
        <f t="shared" si="29"/>
        <v>5.7272695206019339E-2</v>
      </c>
      <c r="BD23" s="32">
        <f t="shared" si="30"/>
        <v>25.922618085618062</v>
      </c>
      <c r="BE23" s="32">
        <f t="shared" si="31"/>
        <v>25.578981914381949</v>
      </c>
      <c r="BF23" s="32">
        <f t="shared" si="32"/>
        <v>25.865345390412045</v>
      </c>
      <c r="BG23" s="32">
        <f t="shared" si="33"/>
        <v>25.636254609587965</v>
      </c>
      <c r="BH23" s="32">
        <f t="shared" si="34"/>
        <v>25.808072695206025</v>
      </c>
      <c r="BI23" s="32">
        <f t="shared" si="35"/>
        <v>25.693527304793985</v>
      </c>
      <c r="BJ23" s="33">
        <f t="shared" si="48"/>
        <v>9.9999999999980105E-3</v>
      </c>
      <c r="BK23" s="34">
        <f t="shared" si="49"/>
        <v>3.6565656565656614E-2</v>
      </c>
      <c r="BL23" s="34">
        <f t="shared" si="50"/>
        <v>0</v>
      </c>
      <c r="BM23" s="34">
        <f t="shared" si="51"/>
        <v>0.11951850505050521</v>
      </c>
      <c r="BQ23" s="22">
        <v>16</v>
      </c>
      <c r="BR23" s="121" t="str">
        <f>IF(ISBLANK(Datos!B18),"",(ABS(Datos!B17-Datos!B18)))</f>
        <v/>
      </c>
      <c r="BS23" s="121" t="str">
        <f>IF(ISBLANK(Datos!C18),"",(ABS(Datos!C17-Datos!C18)))</f>
        <v/>
      </c>
      <c r="BT23" s="121" t="str">
        <f>IF(ISBLANK(Datos!D18),"",(ABS(Datos!D17-Datos!D18)))</f>
        <v/>
      </c>
      <c r="BU23" s="21" t="str">
        <f>IF(ISBLANK(Datos!E18),"",(ABS(Datos!E17-Datos!E18)))</f>
        <v/>
      </c>
    </row>
    <row r="24" spans="1:73" x14ac:dyDescent="0.3">
      <c r="A24" s="16">
        <v>17</v>
      </c>
      <c r="B24" s="36"/>
      <c r="C24" s="32" t="e">
        <f t="shared" si="4"/>
        <v>#DIV/0!</v>
      </c>
      <c r="D24" s="32" t="e">
        <f t="shared" si="5"/>
        <v>#DIV/0!</v>
      </c>
      <c r="E24" s="32" t="e">
        <f t="shared" si="6"/>
        <v>#DIV/0!</v>
      </c>
      <c r="F24" s="32" t="e">
        <f t="shared" si="7"/>
        <v>#DIV/0!</v>
      </c>
      <c r="G24" s="32" t="e">
        <f t="shared" si="8"/>
        <v>#DIV/0!</v>
      </c>
      <c r="H24" s="32" t="e">
        <f t="shared" si="9"/>
        <v>#DIV/0!</v>
      </c>
      <c r="I24" s="32" t="e">
        <f t="shared" si="10"/>
        <v>#DIV/0!</v>
      </c>
      <c r="J24" s="32" t="e">
        <f t="shared" si="11"/>
        <v>#DIV/0!</v>
      </c>
      <c r="K24" s="33">
        <f t="shared" si="36"/>
        <v>0</v>
      </c>
      <c r="L24" s="34">
        <f t="shared" si="37"/>
        <v>0</v>
      </c>
      <c r="M24" s="33">
        <f t="shared" si="38"/>
        <v>0</v>
      </c>
      <c r="N24" s="34">
        <f t="shared" si="39"/>
        <v>0</v>
      </c>
      <c r="R24" s="16">
        <v>17</v>
      </c>
      <c r="S24" s="36">
        <v>6.41</v>
      </c>
      <c r="T24" s="32">
        <f t="shared" si="12"/>
        <v>6.3964700000000017</v>
      </c>
      <c r="U24" s="32">
        <f t="shared" si="13"/>
        <v>4.3797618818166538E-2</v>
      </c>
      <c r="V24" s="32">
        <f t="shared" si="14"/>
        <v>6.5278628564545009</v>
      </c>
      <c r="W24" s="32">
        <f t="shared" si="15"/>
        <v>6.2650771435455024</v>
      </c>
      <c r="X24" s="32">
        <f t="shared" si="16"/>
        <v>6.4840652376363348</v>
      </c>
      <c r="Y24" s="32">
        <f t="shared" si="17"/>
        <v>6.3088747623636685</v>
      </c>
      <c r="Z24" s="32">
        <f t="shared" si="18"/>
        <v>6.4402676188181678</v>
      </c>
      <c r="AA24" s="32">
        <f t="shared" si="19"/>
        <v>6.3526723811818355</v>
      </c>
      <c r="AB24" s="33">
        <f t="shared" si="40"/>
        <v>2.0000000000000462E-2</v>
      </c>
      <c r="AC24" s="34">
        <f t="shared" si="41"/>
        <v>4.2444444444444479E-2</v>
      </c>
      <c r="AD24" s="33">
        <f t="shared" si="42"/>
        <v>0</v>
      </c>
      <c r="AE24" s="34">
        <f t="shared" si="43"/>
        <v>0.13873391111111122</v>
      </c>
      <c r="AI24" s="16">
        <v>17</v>
      </c>
      <c r="AJ24" s="36">
        <v>25.89</v>
      </c>
      <c r="AK24" s="32">
        <f t="shared" si="20"/>
        <v>25.808199999999989</v>
      </c>
      <c r="AL24" s="32">
        <f t="shared" si="21"/>
        <v>7.4500084739969288E-2</v>
      </c>
      <c r="AM24" s="32">
        <f t="shared" si="22"/>
        <v>26.031700254219896</v>
      </c>
      <c r="AN24" s="32">
        <f t="shared" si="23"/>
        <v>25.584699745780082</v>
      </c>
      <c r="AO24" s="32">
        <f t="shared" si="24"/>
        <v>25.957200169479929</v>
      </c>
      <c r="AP24" s="32">
        <f t="shared" si="25"/>
        <v>25.659199830520048</v>
      </c>
      <c r="AQ24" s="32">
        <f t="shared" si="26"/>
        <v>25.882700084739959</v>
      </c>
      <c r="AR24" s="32">
        <f t="shared" si="27"/>
        <v>25.733699915260019</v>
      </c>
      <c r="AS24" s="33">
        <f t="shared" si="44"/>
        <v>1.9999999999999574E-2</v>
      </c>
      <c r="AT24" s="34">
        <f t="shared" si="45"/>
        <v>6.6666666666666249E-2</v>
      </c>
      <c r="AU24" s="34">
        <f t="shared" si="46"/>
        <v>0</v>
      </c>
      <c r="AV24" s="34">
        <f t="shared" si="47"/>
        <v>0.21790666666666531</v>
      </c>
      <c r="AZ24" s="16">
        <v>17</v>
      </c>
      <c r="BA24" s="35">
        <v>25.64</v>
      </c>
      <c r="BB24" s="32">
        <f t="shared" si="28"/>
        <v>25.750800000000005</v>
      </c>
      <c r="BC24" s="32">
        <f t="shared" si="29"/>
        <v>5.7272695206019339E-2</v>
      </c>
      <c r="BD24" s="32">
        <f t="shared" si="30"/>
        <v>25.922618085618062</v>
      </c>
      <c r="BE24" s="32">
        <f t="shared" si="31"/>
        <v>25.578981914381949</v>
      </c>
      <c r="BF24" s="32">
        <f t="shared" si="32"/>
        <v>25.865345390412045</v>
      </c>
      <c r="BG24" s="32">
        <f t="shared" si="33"/>
        <v>25.636254609587965</v>
      </c>
      <c r="BH24" s="32">
        <f t="shared" si="34"/>
        <v>25.808072695206025</v>
      </c>
      <c r="BI24" s="32">
        <f t="shared" si="35"/>
        <v>25.693527304793985</v>
      </c>
      <c r="BJ24" s="33">
        <f t="shared" si="48"/>
        <v>9.9999999999997868E-2</v>
      </c>
      <c r="BK24" s="34">
        <f t="shared" si="49"/>
        <v>3.6565656565656614E-2</v>
      </c>
      <c r="BL24" s="34">
        <f t="shared" si="50"/>
        <v>0</v>
      </c>
      <c r="BM24" s="34">
        <f t="shared" si="51"/>
        <v>0.11951850505050521</v>
      </c>
      <c r="BQ24" s="22">
        <v>17</v>
      </c>
      <c r="BR24" s="121" t="str">
        <f>IF(ISBLANK(Datos!B19),"",(ABS(Datos!B18-Datos!B19)))</f>
        <v/>
      </c>
      <c r="BS24" s="121" t="str">
        <f>IF(ISBLANK(Datos!C19),"",(ABS(Datos!C18-Datos!C19)))</f>
        <v/>
      </c>
      <c r="BT24" s="121" t="str">
        <f>IF(ISBLANK(Datos!D19),"",(ABS(Datos!D18-Datos!D19)))</f>
        <v/>
      </c>
      <c r="BU24" s="21" t="str">
        <f>IF(ISBLANK(Datos!E19),"",(ABS(Datos!E18-Datos!E19)))</f>
        <v/>
      </c>
    </row>
    <row r="25" spans="1:73" x14ac:dyDescent="0.3">
      <c r="A25" s="16">
        <v>18</v>
      </c>
      <c r="B25" s="35"/>
      <c r="C25" s="32" t="e">
        <f t="shared" si="4"/>
        <v>#DIV/0!</v>
      </c>
      <c r="D25" s="32" t="e">
        <f t="shared" si="5"/>
        <v>#DIV/0!</v>
      </c>
      <c r="E25" s="32" t="e">
        <f t="shared" si="6"/>
        <v>#DIV/0!</v>
      </c>
      <c r="F25" s="32" t="e">
        <f t="shared" si="7"/>
        <v>#DIV/0!</v>
      </c>
      <c r="G25" s="32" t="e">
        <f t="shared" si="8"/>
        <v>#DIV/0!</v>
      </c>
      <c r="H25" s="32" t="e">
        <f t="shared" si="9"/>
        <v>#DIV/0!</v>
      </c>
      <c r="I25" s="32" t="e">
        <f t="shared" si="10"/>
        <v>#DIV/0!</v>
      </c>
      <c r="J25" s="32" t="e">
        <f t="shared" si="11"/>
        <v>#DIV/0!</v>
      </c>
      <c r="K25" s="33">
        <f t="shared" si="36"/>
        <v>0</v>
      </c>
      <c r="L25" s="34">
        <f t="shared" si="37"/>
        <v>0</v>
      </c>
      <c r="M25" s="33">
        <f t="shared" si="38"/>
        <v>0</v>
      </c>
      <c r="N25" s="34">
        <f t="shared" si="39"/>
        <v>0</v>
      </c>
      <c r="R25" s="16">
        <v>18</v>
      </c>
      <c r="S25" s="35">
        <v>6.32</v>
      </c>
      <c r="T25" s="32">
        <f t="shared" si="12"/>
        <v>6.3964700000000017</v>
      </c>
      <c r="U25" s="32">
        <f t="shared" si="13"/>
        <v>4.3797618818166538E-2</v>
      </c>
      <c r="V25" s="32">
        <f t="shared" si="14"/>
        <v>6.5278628564545009</v>
      </c>
      <c r="W25" s="32">
        <f t="shared" si="15"/>
        <v>6.2650771435455024</v>
      </c>
      <c r="X25" s="32">
        <f t="shared" si="16"/>
        <v>6.4840652376363348</v>
      </c>
      <c r="Y25" s="32">
        <f t="shared" si="17"/>
        <v>6.3088747623636685</v>
      </c>
      <c r="Z25" s="32">
        <f t="shared" si="18"/>
        <v>6.4402676188181678</v>
      </c>
      <c r="AA25" s="32">
        <f t="shared" si="19"/>
        <v>6.3526723811818355</v>
      </c>
      <c r="AB25" s="33">
        <f t="shared" si="40"/>
        <v>8.9999999999999858E-2</v>
      </c>
      <c r="AC25" s="34">
        <f t="shared" si="41"/>
        <v>4.2444444444444479E-2</v>
      </c>
      <c r="AD25" s="33">
        <f t="shared" si="42"/>
        <v>0</v>
      </c>
      <c r="AE25" s="34">
        <f t="shared" si="43"/>
        <v>0.13873391111111122</v>
      </c>
      <c r="AI25" s="16">
        <v>18</v>
      </c>
      <c r="AJ25" s="35">
        <v>25.73</v>
      </c>
      <c r="AK25" s="32">
        <f t="shared" si="20"/>
        <v>25.808199999999989</v>
      </c>
      <c r="AL25" s="32">
        <f t="shared" si="21"/>
        <v>7.4500084739969288E-2</v>
      </c>
      <c r="AM25" s="32">
        <f t="shared" si="22"/>
        <v>26.031700254219896</v>
      </c>
      <c r="AN25" s="32">
        <f t="shared" si="23"/>
        <v>25.584699745780082</v>
      </c>
      <c r="AO25" s="32">
        <f t="shared" si="24"/>
        <v>25.957200169479929</v>
      </c>
      <c r="AP25" s="32">
        <f t="shared" si="25"/>
        <v>25.659199830520048</v>
      </c>
      <c r="AQ25" s="32">
        <f t="shared" si="26"/>
        <v>25.882700084739959</v>
      </c>
      <c r="AR25" s="32">
        <f t="shared" si="27"/>
        <v>25.733699915260019</v>
      </c>
      <c r="AS25" s="33">
        <f t="shared" si="44"/>
        <v>0.16000000000000014</v>
      </c>
      <c r="AT25" s="34">
        <f t="shared" si="45"/>
        <v>6.6666666666666249E-2</v>
      </c>
      <c r="AU25" s="34">
        <f t="shared" si="46"/>
        <v>0</v>
      </c>
      <c r="AV25" s="34">
        <f t="shared" si="47"/>
        <v>0.21790666666666531</v>
      </c>
      <c r="AZ25" s="16">
        <v>18</v>
      </c>
      <c r="BA25" s="35">
        <v>25.69</v>
      </c>
      <c r="BB25" s="32">
        <f t="shared" si="28"/>
        <v>25.750800000000005</v>
      </c>
      <c r="BC25" s="32">
        <f t="shared" si="29"/>
        <v>5.7272695206019339E-2</v>
      </c>
      <c r="BD25" s="32">
        <f t="shared" si="30"/>
        <v>25.922618085618062</v>
      </c>
      <c r="BE25" s="32">
        <f t="shared" si="31"/>
        <v>25.578981914381949</v>
      </c>
      <c r="BF25" s="32">
        <f t="shared" si="32"/>
        <v>25.865345390412045</v>
      </c>
      <c r="BG25" s="32">
        <f t="shared" si="33"/>
        <v>25.636254609587965</v>
      </c>
      <c r="BH25" s="32">
        <f t="shared" si="34"/>
        <v>25.808072695206025</v>
      </c>
      <c r="BI25" s="32">
        <f t="shared" si="35"/>
        <v>25.693527304793985</v>
      </c>
      <c r="BJ25" s="33">
        <f t="shared" si="48"/>
        <v>5.0000000000000711E-2</v>
      </c>
      <c r="BK25" s="34">
        <f t="shared" si="49"/>
        <v>3.6565656565656614E-2</v>
      </c>
      <c r="BL25" s="34">
        <f t="shared" si="50"/>
        <v>0</v>
      </c>
      <c r="BM25" s="34">
        <f t="shared" si="51"/>
        <v>0.11951850505050521</v>
      </c>
      <c r="BQ25" s="22">
        <v>18</v>
      </c>
      <c r="BR25" s="121" t="str">
        <f>IF(ISBLANK(Datos!B20),"",(ABS(Datos!B19-Datos!B20)))</f>
        <v/>
      </c>
      <c r="BS25" s="121" t="str">
        <f>IF(ISBLANK(Datos!C20),"",(ABS(Datos!C19-Datos!C20)))</f>
        <v/>
      </c>
      <c r="BT25" s="121" t="str">
        <f>IF(ISBLANK(Datos!D20),"",(ABS(Datos!D19-Datos!D20)))</f>
        <v/>
      </c>
      <c r="BU25" s="21" t="str">
        <f>IF(ISBLANK(Datos!E20),"",(ABS(Datos!E19-Datos!E20)))</f>
        <v/>
      </c>
    </row>
    <row r="26" spans="1:73" x14ac:dyDescent="0.3">
      <c r="A26" s="16">
        <v>19</v>
      </c>
      <c r="B26" s="35"/>
      <c r="C26" s="32" t="e">
        <f t="shared" si="4"/>
        <v>#DIV/0!</v>
      </c>
      <c r="D26" s="32" t="e">
        <f t="shared" si="5"/>
        <v>#DIV/0!</v>
      </c>
      <c r="E26" s="32" t="e">
        <f t="shared" si="6"/>
        <v>#DIV/0!</v>
      </c>
      <c r="F26" s="32" t="e">
        <f t="shared" si="7"/>
        <v>#DIV/0!</v>
      </c>
      <c r="G26" s="32" t="e">
        <f t="shared" si="8"/>
        <v>#DIV/0!</v>
      </c>
      <c r="H26" s="32" t="e">
        <f t="shared" si="9"/>
        <v>#DIV/0!</v>
      </c>
      <c r="I26" s="32" t="e">
        <f t="shared" si="10"/>
        <v>#DIV/0!</v>
      </c>
      <c r="J26" s="32" t="e">
        <f t="shared" si="11"/>
        <v>#DIV/0!</v>
      </c>
      <c r="K26" s="33">
        <f t="shared" si="36"/>
        <v>0</v>
      </c>
      <c r="L26" s="34">
        <f t="shared" si="37"/>
        <v>0</v>
      </c>
      <c r="M26" s="33">
        <f t="shared" si="38"/>
        <v>0</v>
      </c>
      <c r="N26" s="34">
        <f t="shared" si="39"/>
        <v>0</v>
      </c>
      <c r="R26" s="16">
        <v>19</v>
      </c>
      <c r="S26" s="35">
        <v>6.27</v>
      </c>
      <c r="T26" s="32">
        <f t="shared" si="12"/>
        <v>6.3964700000000017</v>
      </c>
      <c r="U26" s="32">
        <f t="shared" si="13"/>
        <v>4.3797618818166538E-2</v>
      </c>
      <c r="V26" s="32">
        <f t="shared" si="14"/>
        <v>6.5278628564545009</v>
      </c>
      <c r="W26" s="32">
        <f t="shared" si="15"/>
        <v>6.2650771435455024</v>
      </c>
      <c r="X26" s="32">
        <f t="shared" si="16"/>
        <v>6.4840652376363348</v>
      </c>
      <c r="Y26" s="32">
        <f t="shared" si="17"/>
        <v>6.3088747623636685</v>
      </c>
      <c r="Z26" s="32">
        <f t="shared" si="18"/>
        <v>6.4402676188181678</v>
      </c>
      <c r="AA26" s="32">
        <f t="shared" si="19"/>
        <v>6.3526723811818355</v>
      </c>
      <c r="AB26" s="33">
        <f t="shared" si="40"/>
        <v>5.0000000000000711E-2</v>
      </c>
      <c r="AC26" s="34">
        <f t="shared" si="41"/>
        <v>4.2444444444444479E-2</v>
      </c>
      <c r="AD26" s="33">
        <f t="shared" si="42"/>
        <v>0</v>
      </c>
      <c r="AE26" s="34">
        <f t="shared" si="43"/>
        <v>0.13873391111111122</v>
      </c>
      <c r="AI26" s="16">
        <v>19</v>
      </c>
      <c r="AJ26" s="35">
        <v>25.77</v>
      </c>
      <c r="AK26" s="32">
        <f t="shared" si="20"/>
        <v>25.808199999999989</v>
      </c>
      <c r="AL26" s="32">
        <f t="shared" si="21"/>
        <v>7.4500084739969288E-2</v>
      </c>
      <c r="AM26" s="32">
        <f t="shared" si="22"/>
        <v>26.031700254219896</v>
      </c>
      <c r="AN26" s="32">
        <f t="shared" si="23"/>
        <v>25.584699745780082</v>
      </c>
      <c r="AO26" s="32">
        <f t="shared" si="24"/>
        <v>25.957200169479929</v>
      </c>
      <c r="AP26" s="32">
        <f t="shared" si="25"/>
        <v>25.659199830520048</v>
      </c>
      <c r="AQ26" s="32">
        <f t="shared" si="26"/>
        <v>25.882700084739959</v>
      </c>
      <c r="AR26" s="32">
        <f t="shared" si="27"/>
        <v>25.733699915260019</v>
      </c>
      <c r="AS26" s="33">
        <f t="shared" si="44"/>
        <v>3.9999999999999147E-2</v>
      </c>
      <c r="AT26" s="34">
        <f t="shared" si="45"/>
        <v>6.6666666666666249E-2</v>
      </c>
      <c r="AU26" s="34">
        <f t="shared" si="46"/>
        <v>0</v>
      </c>
      <c r="AV26" s="34">
        <f t="shared" si="47"/>
        <v>0.21790666666666531</v>
      </c>
      <c r="AZ26" s="16">
        <v>19</v>
      </c>
      <c r="BA26" s="35">
        <v>25.68</v>
      </c>
      <c r="BB26" s="32">
        <f t="shared" si="28"/>
        <v>25.750800000000005</v>
      </c>
      <c r="BC26" s="32">
        <f t="shared" si="29"/>
        <v>5.7272695206019339E-2</v>
      </c>
      <c r="BD26" s="32">
        <f t="shared" si="30"/>
        <v>25.922618085618062</v>
      </c>
      <c r="BE26" s="32">
        <f t="shared" si="31"/>
        <v>25.578981914381949</v>
      </c>
      <c r="BF26" s="32">
        <f t="shared" si="32"/>
        <v>25.865345390412045</v>
      </c>
      <c r="BG26" s="32">
        <f t="shared" si="33"/>
        <v>25.636254609587965</v>
      </c>
      <c r="BH26" s="32">
        <f t="shared" si="34"/>
        <v>25.808072695206025</v>
      </c>
      <c r="BI26" s="32">
        <f t="shared" si="35"/>
        <v>25.693527304793985</v>
      </c>
      <c r="BJ26" s="33">
        <f t="shared" si="48"/>
        <v>1.0000000000001563E-2</v>
      </c>
      <c r="BK26" s="34">
        <f t="shared" si="49"/>
        <v>3.6565656565656614E-2</v>
      </c>
      <c r="BL26" s="34">
        <f t="shared" si="50"/>
        <v>0</v>
      </c>
      <c r="BM26" s="34">
        <f t="shared" si="51"/>
        <v>0.11951850505050521</v>
      </c>
      <c r="BQ26" s="22">
        <v>19</v>
      </c>
      <c r="BR26" s="121" t="str">
        <f>IF(ISBLANK(Datos!B21),"",(ABS(Datos!B20-Datos!B21)))</f>
        <v/>
      </c>
      <c r="BS26" s="121" t="str">
        <f>IF(ISBLANK(Datos!C21),"",(ABS(Datos!C20-Datos!C21)))</f>
        <v/>
      </c>
      <c r="BT26" s="121" t="str">
        <f>IF(ISBLANK(Datos!D21),"",(ABS(Datos!D20-Datos!D21)))</f>
        <v/>
      </c>
      <c r="BU26" s="21" t="str">
        <f>IF(ISBLANK(Datos!E21),"",(ABS(Datos!E20-Datos!E21)))</f>
        <v/>
      </c>
    </row>
    <row r="27" spans="1:73" x14ac:dyDescent="0.3">
      <c r="A27" s="16">
        <v>20</v>
      </c>
      <c r="B27" s="35"/>
      <c r="C27" s="32" t="e">
        <f t="shared" si="4"/>
        <v>#DIV/0!</v>
      </c>
      <c r="D27" s="32" t="e">
        <f t="shared" si="5"/>
        <v>#DIV/0!</v>
      </c>
      <c r="E27" s="32" t="e">
        <f t="shared" si="6"/>
        <v>#DIV/0!</v>
      </c>
      <c r="F27" s="32" t="e">
        <f t="shared" si="7"/>
        <v>#DIV/0!</v>
      </c>
      <c r="G27" s="32" t="e">
        <f t="shared" si="8"/>
        <v>#DIV/0!</v>
      </c>
      <c r="H27" s="32" t="e">
        <f t="shared" si="9"/>
        <v>#DIV/0!</v>
      </c>
      <c r="I27" s="32" t="e">
        <f t="shared" si="10"/>
        <v>#DIV/0!</v>
      </c>
      <c r="J27" s="32" t="e">
        <f t="shared" si="11"/>
        <v>#DIV/0!</v>
      </c>
      <c r="K27" s="33">
        <f t="shared" si="36"/>
        <v>0</v>
      </c>
      <c r="L27" s="34">
        <f t="shared" si="37"/>
        <v>0</v>
      </c>
      <c r="M27" s="33">
        <f t="shared" si="38"/>
        <v>0</v>
      </c>
      <c r="N27" s="34">
        <f t="shared" si="39"/>
        <v>0</v>
      </c>
      <c r="R27" s="16">
        <v>20</v>
      </c>
      <c r="S27" s="35">
        <v>6.38</v>
      </c>
      <c r="T27" s="32">
        <f t="shared" si="12"/>
        <v>6.3964700000000017</v>
      </c>
      <c r="U27" s="32">
        <f t="shared" si="13"/>
        <v>4.3797618818166538E-2</v>
      </c>
      <c r="V27" s="32">
        <f t="shared" si="14"/>
        <v>6.5278628564545009</v>
      </c>
      <c r="W27" s="32">
        <f t="shared" si="15"/>
        <v>6.2650771435455024</v>
      </c>
      <c r="X27" s="32">
        <f t="shared" si="16"/>
        <v>6.4840652376363348</v>
      </c>
      <c r="Y27" s="32">
        <f t="shared" si="17"/>
        <v>6.3088747623636685</v>
      </c>
      <c r="Z27" s="32">
        <f t="shared" si="18"/>
        <v>6.4402676188181678</v>
      </c>
      <c r="AA27" s="32">
        <f t="shared" si="19"/>
        <v>6.3526723811818355</v>
      </c>
      <c r="AB27" s="33">
        <f t="shared" si="40"/>
        <v>0.11000000000000032</v>
      </c>
      <c r="AC27" s="34">
        <f t="shared" si="41"/>
        <v>4.2444444444444479E-2</v>
      </c>
      <c r="AD27" s="33">
        <f t="shared" si="42"/>
        <v>0</v>
      </c>
      <c r="AE27" s="34">
        <f t="shared" si="43"/>
        <v>0.13873391111111122</v>
      </c>
      <c r="AI27" s="16">
        <v>20</v>
      </c>
      <c r="AJ27" s="35">
        <v>25.81</v>
      </c>
      <c r="AK27" s="32">
        <f t="shared" si="20"/>
        <v>25.808199999999989</v>
      </c>
      <c r="AL27" s="32">
        <f t="shared" si="21"/>
        <v>7.4500084739969288E-2</v>
      </c>
      <c r="AM27" s="32">
        <f t="shared" si="22"/>
        <v>26.031700254219896</v>
      </c>
      <c r="AN27" s="32">
        <f t="shared" si="23"/>
        <v>25.584699745780082</v>
      </c>
      <c r="AO27" s="32">
        <f t="shared" si="24"/>
        <v>25.957200169479929</v>
      </c>
      <c r="AP27" s="32">
        <f t="shared" si="25"/>
        <v>25.659199830520048</v>
      </c>
      <c r="AQ27" s="32">
        <f t="shared" si="26"/>
        <v>25.882700084739959</v>
      </c>
      <c r="AR27" s="32">
        <f t="shared" si="27"/>
        <v>25.733699915260019</v>
      </c>
      <c r="AS27" s="33">
        <f t="shared" si="44"/>
        <v>3.9999999999999147E-2</v>
      </c>
      <c r="AT27" s="34">
        <f t="shared" si="45"/>
        <v>6.6666666666666249E-2</v>
      </c>
      <c r="AU27" s="34">
        <f t="shared" si="46"/>
        <v>0</v>
      </c>
      <c r="AV27" s="34">
        <f t="shared" si="47"/>
        <v>0.21790666666666531</v>
      </c>
      <c r="AZ27" s="16">
        <v>20</v>
      </c>
      <c r="BA27" s="35">
        <v>25.73</v>
      </c>
      <c r="BB27" s="32">
        <f t="shared" si="28"/>
        <v>25.750800000000005</v>
      </c>
      <c r="BC27" s="32">
        <f t="shared" si="29"/>
        <v>5.7272695206019339E-2</v>
      </c>
      <c r="BD27" s="32">
        <f t="shared" si="30"/>
        <v>25.922618085618062</v>
      </c>
      <c r="BE27" s="32">
        <f t="shared" si="31"/>
        <v>25.578981914381949</v>
      </c>
      <c r="BF27" s="32">
        <f t="shared" si="32"/>
        <v>25.865345390412045</v>
      </c>
      <c r="BG27" s="32">
        <f t="shared" si="33"/>
        <v>25.636254609587965</v>
      </c>
      <c r="BH27" s="32">
        <f t="shared" si="34"/>
        <v>25.808072695206025</v>
      </c>
      <c r="BI27" s="32">
        <f t="shared" si="35"/>
        <v>25.693527304793985</v>
      </c>
      <c r="BJ27" s="33">
        <f t="shared" si="48"/>
        <v>5.0000000000000711E-2</v>
      </c>
      <c r="BK27" s="34">
        <f t="shared" si="49"/>
        <v>3.6565656565656614E-2</v>
      </c>
      <c r="BL27" s="34">
        <f t="shared" si="50"/>
        <v>0</v>
      </c>
      <c r="BM27" s="34">
        <f t="shared" si="51"/>
        <v>0.11951850505050521</v>
      </c>
      <c r="BQ27" s="22">
        <v>20</v>
      </c>
      <c r="BR27" s="121" t="str">
        <f>IF(ISBLANK(Datos!B22),"",(ABS(Datos!B21-Datos!B22)))</f>
        <v/>
      </c>
      <c r="BS27" s="121" t="str">
        <f>IF(ISBLANK(Datos!C22),"",(ABS(Datos!C21-Datos!C22)))</f>
        <v/>
      </c>
      <c r="BT27" s="121" t="str">
        <f>IF(ISBLANK(Datos!D22),"",(ABS(Datos!D21-Datos!D22)))</f>
        <v/>
      </c>
      <c r="BU27" s="21" t="str">
        <f>IF(ISBLANK(Datos!E22),"",(ABS(Datos!E21-Datos!E22)))</f>
        <v/>
      </c>
    </row>
    <row r="28" spans="1:73" x14ac:dyDescent="0.3">
      <c r="A28" s="16">
        <v>21</v>
      </c>
      <c r="B28" s="35"/>
      <c r="C28" s="32" t="e">
        <f t="shared" si="4"/>
        <v>#DIV/0!</v>
      </c>
      <c r="D28" s="32" t="e">
        <f t="shared" si="5"/>
        <v>#DIV/0!</v>
      </c>
      <c r="E28" s="32" t="e">
        <f t="shared" si="6"/>
        <v>#DIV/0!</v>
      </c>
      <c r="F28" s="32" t="e">
        <f t="shared" si="7"/>
        <v>#DIV/0!</v>
      </c>
      <c r="G28" s="32" t="e">
        <f t="shared" si="8"/>
        <v>#DIV/0!</v>
      </c>
      <c r="H28" s="32" t="e">
        <f t="shared" si="9"/>
        <v>#DIV/0!</v>
      </c>
      <c r="I28" s="32" t="e">
        <f t="shared" si="10"/>
        <v>#DIV/0!</v>
      </c>
      <c r="J28" s="32" t="e">
        <f t="shared" si="11"/>
        <v>#DIV/0!</v>
      </c>
      <c r="K28" s="33">
        <f t="shared" si="36"/>
        <v>0</v>
      </c>
      <c r="L28" s="34">
        <f t="shared" si="37"/>
        <v>0</v>
      </c>
      <c r="M28" s="33">
        <f t="shared" si="38"/>
        <v>0</v>
      </c>
      <c r="N28" s="34">
        <f t="shared" si="39"/>
        <v>0</v>
      </c>
      <c r="R28" s="16">
        <v>21</v>
      </c>
      <c r="S28" s="35">
        <v>6.39</v>
      </c>
      <c r="T28" s="32">
        <f t="shared" si="12"/>
        <v>6.3964700000000017</v>
      </c>
      <c r="U28" s="32">
        <f t="shared" si="13"/>
        <v>4.3797618818166538E-2</v>
      </c>
      <c r="V28" s="32">
        <f t="shared" si="14"/>
        <v>6.5278628564545009</v>
      </c>
      <c r="W28" s="32">
        <f t="shared" si="15"/>
        <v>6.2650771435455024</v>
      </c>
      <c r="X28" s="32">
        <f t="shared" si="16"/>
        <v>6.4840652376363348</v>
      </c>
      <c r="Y28" s="32">
        <f t="shared" si="17"/>
        <v>6.3088747623636685</v>
      </c>
      <c r="Z28" s="32">
        <f t="shared" si="18"/>
        <v>6.4402676188181678</v>
      </c>
      <c r="AA28" s="32">
        <f t="shared" si="19"/>
        <v>6.3526723811818355</v>
      </c>
      <c r="AB28" s="33">
        <f t="shared" si="40"/>
        <v>9.9999999999997868E-3</v>
      </c>
      <c r="AC28" s="34">
        <f t="shared" si="41"/>
        <v>4.2444444444444479E-2</v>
      </c>
      <c r="AD28" s="33">
        <f t="shared" si="42"/>
        <v>0</v>
      </c>
      <c r="AE28" s="34">
        <f t="shared" si="43"/>
        <v>0.13873391111111122</v>
      </c>
      <c r="AI28" s="16">
        <v>21</v>
      </c>
      <c r="AJ28" s="35">
        <v>25.75</v>
      </c>
      <c r="AK28" s="32">
        <f t="shared" si="20"/>
        <v>25.808199999999989</v>
      </c>
      <c r="AL28" s="32">
        <f t="shared" si="21"/>
        <v>7.4500084739969288E-2</v>
      </c>
      <c r="AM28" s="32">
        <f t="shared" si="22"/>
        <v>26.031700254219896</v>
      </c>
      <c r="AN28" s="32">
        <f t="shared" si="23"/>
        <v>25.584699745780082</v>
      </c>
      <c r="AO28" s="32">
        <f t="shared" si="24"/>
        <v>25.957200169479929</v>
      </c>
      <c r="AP28" s="32">
        <f t="shared" si="25"/>
        <v>25.659199830520048</v>
      </c>
      <c r="AQ28" s="32">
        <f t="shared" si="26"/>
        <v>25.882700084739959</v>
      </c>
      <c r="AR28" s="32">
        <f t="shared" si="27"/>
        <v>25.733699915260019</v>
      </c>
      <c r="AS28" s="33">
        <f t="shared" si="44"/>
        <v>5.9999999999998721E-2</v>
      </c>
      <c r="AT28" s="34">
        <f t="shared" si="45"/>
        <v>6.6666666666666249E-2</v>
      </c>
      <c r="AU28" s="34">
        <f t="shared" si="46"/>
        <v>0</v>
      </c>
      <c r="AV28" s="34">
        <f t="shared" si="47"/>
        <v>0.21790666666666531</v>
      </c>
      <c r="AZ28" s="16">
        <v>21</v>
      </c>
      <c r="BA28" s="35">
        <v>25.75</v>
      </c>
      <c r="BB28" s="32">
        <f t="shared" si="28"/>
        <v>25.750800000000005</v>
      </c>
      <c r="BC28" s="32">
        <f t="shared" si="29"/>
        <v>5.7272695206019339E-2</v>
      </c>
      <c r="BD28" s="32">
        <f t="shared" si="30"/>
        <v>25.922618085618062</v>
      </c>
      <c r="BE28" s="32">
        <f t="shared" si="31"/>
        <v>25.578981914381949</v>
      </c>
      <c r="BF28" s="32">
        <f t="shared" si="32"/>
        <v>25.865345390412045</v>
      </c>
      <c r="BG28" s="32">
        <f t="shared" si="33"/>
        <v>25.636254609587965</v>
      </c>
      <c r="BH28" s="32">
        <f t="shared" si="34"/>
        <v>25.808072695206025</v>
      </c>
      <c r="BI28" s="32">
        <f t="shared" si="35"/>
        <v>25.693527304793985</v>
      </c>
      <c r="BJ28" s="33">
        <f t="shared" si="48"/>
        <v>1.9999999999999574E-2</v>
      </c>
      <c r="BK28" s="34">
        <f t="shared" si="49"/>
        <v>3.6565656565656614E-2</v>
      </c>
      <c r="BL28" s="34">
        <f t="shared" si="50"/>
        <v>0</v>
      </c>
      <c r="BM28" s="34">
        <f t="shared" si="51"/>
        <v>0.11951850505050521</v>
      </c>
      <c r="BQ28" s="22">
        <v>21</v>
      </c>
      <c r="BR28" s="121" t="str">
        <f>IF(ISBLANK(Datos!B23),"",(ABS(Datos!B22-Datos!B23)))</f>
        <v/>
      </c>
      <c r="BS28" s="121" t="str">
        <f>IF(ISBLANK(Datos!C23),"",(ABS(Datos!C22-Datos!C23)))</f>
        <v/>
      </c>
      <c r="BT28" s="121" t="str">
        <f>IF(ISBLANK(Datos!D23),"",(ABS(Datos!D22-Datos!D23)))</f>
        <v/>
      </c>
      <c r="BU28" s="21" t="str">
        <f>IF(ISBLANK(Datos!E23),"",(ABS(Datos!E22-Datos!E23)))</f>
        <v/>
      </c>
    </row>
    <row r="29" spans="1:73" x14ac:dyDescent="0.3">
      <c r="A29" s="16">
        <v>22</v>
      </c>
      <c r="B29" s="35"/>
      <c r="C29" s="32" t="e">
        <f t="shared" si="4"/>
        <v>#DIV/0!</v>
      </c>
      <c r="D29" s="32" t="e">
        <f t="shared" si="5"/>
        <v>#DIV/0!</v>
      </c>
      <c r="E29" s="32" t="e">
        <f t="shared" si="6"/>
        <v>#DIV/0!</v>
      </c>
      <c r="F29" s="32" t="e">
        <f t="shared" si="7"/>
        <v>#DIV/0!</v>
      </c>
      <c r="G29" s="32" t="e">
        <f t="shared" si="8"/>
        <v>#DIV/0!</v>
      </c>
      <c r="H29" s="32" t="e">
        <f t="shared" si="9"/>
        <v>#DIV/0!</v>
      </c>
      <c r="I29" s="32" t="e">
        <f t="shared" si="10"/>
        <v>#DIV/0!</v>
      </c>
      <c r="J29" s="32" t="e">
        <f t="shared" si="11"/>
        <v>#DIV/0!</v>
      </c>
      <c r="K29" s="33">
        <f t="shared" si="36"/>
        <v>0</v>
      </c>
      <c r="L29" s="34">
        <f t="shared" si="37"/>
        <v>0</v>
      </c>
      <c r="M29" s="33">
        <f t="shared" si="38"/>
        <v>0</v>
      </c>
      <c r="N29" s="34">
        <f t="shared" si="39"/>
        <v>0</v>
      </c>
      <c r="R29" s="16">
        <v>22</v>
      </c>
      <c r="S29" s="35">
        <v>6.33</v>
      </c>
      <c r="T29" s="32">
        <f t="shared" si="12"/>
        <v>6.3964700000000017</v>
      </c>
      <c r="U29" s="32">
        <f t="shared" si="13"/>
        <v>4.3797618818166538E-2</v>
      </c>
      <c r="V29" s="32">
        <f t="shared" si="14"/>
        <v>6.5278628564545009</v>
      </c>
      <c r="W29" s="32">
        <f t="shared" si="15"/>
        <v>6.2650771435455024</v>
      </c>
      <c r="X29" s="32">
        <f t="shared" si="16"/>
        <v>6.4840652376363348</v>
      </c>
      <c r="Y29" s="32">
        <f t="shared" si="17"/>
        <v>6.3088747623636685</v>
      </c>
      <c r="Z29" s="32">
        <f t="shared" si="18"/>
        <v>6.4402676188181678</v>
      </c>
      <c r="AA29" s="32">
        <f t="shared" si="19"/>
        <v>6.3526723811818355</v>
      </c>
      <c r="AB29" s="33">
        <f t="shared" si="40"/>
        <v>5.9999999999999609E-2</v>
      </c>
      <c r="AC29" s="34">
        <f t="shared" si="41"/>
        <v>4.2444444444444479E-2</v>
      </c>
      <c r="AD29" s="33">
        <f t="shared" si="42"/>
        <v>0</v>
      </c>
      <c r="AE29" s="34">
        <f t="shared" si="43"/>
        <v>0.13873391111111122</v>
      </c>
      <c r="AI29" s="16">
        <v>22</v>
      </c>
      <c r="AJ29" s="35">
        <v>25.81</v>
      </c>
      <c r="AK29" s="32">
        <f t="shared" si="20"/>
        <v>25.808199999999989</v>
      </c>
      <c r="AL29" s="32">
        <f t="shared" si="21"/>
        <v>7.4500084739969288E-2</v>
      </c>
      <c r="AM29" s="32">
        <f t="shared" si="22"/>
        <v>26.031700254219896</v>
      </c>
      <c r="AN29" s="32">
        <f t="shared" si="23"/>
        <v>25.584699745780082</v>
      </c>
      <c r="AO29" s="32">
        <f t="shared" si="24"/>
        <v>25.957200169479929</v>
      </c>
      <c r="AP29" s="32">
        <f t="shared" si="25"/>
        <v>25.659199830520048</v>
      </c>
      <c r="AQ29" s="32">
        <f t="shared" si="26"/>
        <v>25.882700084739959</v>
      </c>
      <c r="AR29" s="32">
        <f t="shared" si="27"/>
        <v>25.733699915260019</v>
      </c>
      <c r="AS29" s="33">
        <f t="shared" si="44"/>
        <v>5.9999999999998721E-2</v>
      </c>
      <c r="AT29" s="34">
        <f t="shared" si="45"/>
        <v>6.6666666666666249E-2</v>
      </c>
      <c r="AU29" s="34">
        <f t="shared" si="46"/>
        <v>0</v>
      </c>
      <c r="AV29" s="34">
        <f t="shared" si="47"/>
        <v>0.21790666666666531</v>
      </c>
      <c r="AZ29" s="16">
        <v>22</v>
      </c>
      <c r="BA29" s="35">
        <v>25.73</v>
      </c>
      <c r="BB29" s="32">
        <f t="shared" si="28"/>
        <v>25.750800000000005</v>
      </c>
      <c r="BC29" s="32">
        <f t="shared" si="29"/>
        <v>5.7272695206019339E-2</v>
      </c>
      <c r="BD29" s="32">
        <f t="shared" si="30"/>
        <v>25.922618085618062</v>
      </c>
      <c r="BE29" s="32">
        <f t="shared" si="31"/>
        <v>25.578981914381949</v>
      </c>
      <c r="BF29" s="32">
        <f t="shared" si="32"/>
        <v>25.865345390412045</v>
      </c>
      <c r="BG29" s="32">
        <f t="shared" si="33"/>
        <v>25.636254609587965</v>
      </c>
      <c r="BH29" s="32">
        <f t="shared" si="34"/>
        <v>25.808072695206025</v>
      </c>
      <c r="BI29" s="32">
        <f t="shared" si="35"/>
        <v>25.693527304793985</v>
      </c>
      <c r="BJ29" s="33">
        <f t="shared" si="48"/>
        <v>1.9999999999999574E-2</v>
      </c>
      <c r="BK29" s="34">
        <f t="shared" si="49"/>
        <v>3.6565656565656614E-2</v>
      </c>
      <c r="BL29" s="34">
        <f t="shared" si="50"/>
        <v>0</v>
      </c>
      <c r="BM29" s="34">
        <f t="shared" si="51"/>
        <v>0.11951850505050521</v>
      </c>
      <c r="BQ29" s="22">
        <v>22</v>
      </c>
      <c r="BR29" s="121" t="str">
        <f>IF(ISBLANK(Datos!B24),"",(ABS(Datos!B23-Datos!B24)))</f>
        <v/>
      </c>
      <c r="BS29" s="121" t="str">
        <f>IF(ISBLANK(Datos!C24),"",(ABS(Datos!C23-Datos!C24)))</f>
        <v/>
      </c>
      <c r="BT29" s="121" t="str">
        <f>IF(ISBLANK(Datos!D24),"",(ABS(Datos!D23-Datos!D24)))</f>
        <v/>
      </c>
      <c r="BU29" s="21" t="str">
        <f>IF(ISBLANK(Datos!E24),"",(ABS(Datos!E23-Datos!E24)))</f>
        <v/>
      </c>
    </row>
    <row r="30" spans="1:73" x14ac:dyDescent="0.3">
      <c r="A30" s="16">
        <v>23</v>
      </c>
      <c r="B30" s="35"/>
      <c r="C30" s="32" t="e">
        <f t="shared" si="4"/>
        <v>#DIV/0!</v>
      </c>
      <c r="D30" s="32" t="e">
        <f t="shared" si="5"/>
        <v>#DIV/0!</v>
      </c>
      <c r="E30" s="32" t="e">
        <f t="shared" si="6"/>
        <v>#DIV/0!</v>
      </c>
      <c r="F30" s="32" t="e">
        <f t="shared" si="7"/>
        <v>#DIV/0!</v>
      </c>
      <c r="G30" s="32" t="e">
        <f t="shared" si="8"/>
        <v>#DIV/0!</v>
      </c>
      <c r="H30" s="32" t="e">
        <f t="shared" si="9"/>
        <v>#DIV/0!</v>
      </c>
      <c r="I30" s="32" t="e">
        <f t="shared" si="10"/>
        <v>#DIV/0!</v>
      </c>
      <c r="J30" s="32" t="e">
        <f t="shared" si="11"/>
        <v>#DIV/0!</v>
      </c>
      <c r="K30" s="33">
        <f t="shared" si="36"/>
        <v>0</v>
      </c>
      <c r="L30" s="34">
        <f t="shared" si="37"/>
        <v>0</v>
      </c>
      <c r="M30" s="33">
        <f t="shared" si="38"/>
        <v>0</v>
      </c>
      <c r="N30" s="34">
        <f t="shared" si="39"/>
        <v>0</v>
      </c>
      <c r="R30" s="16">
        <v>23</v>
      </c>
      <c r="S30" s="35">
        <v>6.33</v>
      </c>
      <c r="T30" s="32">
        <f t="shared" si="12"/>
        <v>6.3964700000000017</v>
      </c>
      <c r="U30" s="32">
        <f t="shared" si="13"/>
        <v>4.3797618818166538E-2</v>
      </c>
      <c r="V30" s="32">
        <f t="shared" si="14"/>
        <v>6.5278628564545009</v>
      </c>
      <c r="W30" s="32">
        <f t="shared" si="15"/>
        <v>6.2650771435455024</v>
      </c>
      <c r="X30" s="32">
        <f t="shared" si="16"/>
        <v>6.4840652376363348</v>
      </c>
      <c r="Y30" s="32">
        <f t="shared" si="17"/>
        <v>6.3088747623636685</v>
      </c>
      <c r="Z30" s="32">
        <f t="shared" si="18"/>
        <v>6.4402676188181678</v>
      </c>
      <c r="AA30" s="32">
        <f t="shared" si="19"/>
        <v>6.3526723811818355</v>
      </c>
      <c r="AB30" s="33">
        <f t="shared" si="40"/>
        <v>0</v>
      </c>
      <c r="AC30" s="34">
        <f t="shared" si="41"/>
        <v>4.2444444444444479E-2</v>
      </c>
      <c r="AD30" s="33">
        <f t="shared" si="42"/>
        <v>0</v>
      </c>
      <c r="AE30" s="34">
        <f t="shared" si="43"/>
        <v>0.13873391111111122</v>
      </c>
      <c r="AI30" s="16">
        <v>23</v>
      </c>
      <c r="AJ30" s="35">
        <v>25.82</v>
      </c>
      <c r="AK30" s="32">
        <f t="shared" si="20"/>
        <v>25.808199999999989</v>
      </c>
      <c r="AL30" s="32">
        <f t="shared" si="21"/>
        <v>7.4500084739969288E-2</v>
      </c>
      <c r="AM30" s="32">
        <f t="shared" si="22"/>
        <v>26.031700254219896</v>
      </c>
      <c r="AN30" s="32">
        <f t="shared" si="23"/>
        <v>25.584699745780082</v>
      </c>
      <c r="AO30" s="32">
        <f t="shared" si="24"/>
        <v>25.957200169479929</v>
      </c>
      <c r="AP30" s="32">
        <f t="shared" si="25"/>
        <v>25.659199830520048</v>
      </c>
      <c r="AQ30" s="32">
        <f t="shared" si="26"/>
        <v>25.882700084739959</v>
      </c>
      <c r="AR30" s="32">
        <f t="shared" si="27"/>
        <v>25.733699915260019</v>
      </c>
      <c r="AS30" s="33">
        <f t="shared" si="44"/>
        <v>1.0000000000001563E-2</v>
      </c>
      <c r="AT30" s="34">
        <f t="shared" si="45"/>
        <v>6.6666666666666249E-2</v>
      </c>
      <c r="AU30" s="34">
        <f t="shared" si="46"/>
        <v>0</v>
      </c>
      <c r="AV30" s="34">
        <f t="shared" si="47"/>
        <v>0.21790666666666531</v>
      </c>
      <c r="AZ30" s="16">
        <v>23</v>
      </c>
      <c r="BA30" s="35">
        <v>25.74</v>
      </c>
      <c r="BB30" s="32">
        <f t="shared" si="28"/>
        <v>25.750800000000005</v>
      </c>
      <c r="BC30" s="32">
        <f t="shared" si="29"/>
        <v>5.7272695206019339E-2</v>
      </c>
      <c r="BD30" s="32">
        <f t="shared" si="30"/>
        <v>25.922618085618062</v>
      </c>
      <c r="BE30" s="32">
        <f t="shared" si="31"/>
        <v>25.578981914381949</v>
      </c>
      <c r="BF30" s="32">
        <f t="shared" si="32"/>
        <v>25.865345390412045</v>
      </c>
      <c r="BG30" s="32">
        <f t="shared" si="33"/>
        <v>25.636254609587965</v>
      </c>
      <c r="BH30" s="32">
        <f t="shared" si="34"/>
        <v>25.808072695206025</v>
      </c>
      <c r="BI30" s="32">
        <f t="shared" si="35"/>
        <v>25.693527304793985</v>
      </c>
      <c r="BJ30" s="33">
        <f t="shared" si="48"/>
        <v>9.9999999999980105E-3</v>
      </c>
      <c r="BK30" s="34">
        <f t="shared" si="49"/>
        <v>3.6565656565656614E-2</v>
      </c>
      <c r="BL30" s="34">
        <f t="shared" si="50"/>
        <v>0</v>
      </c>
      <c r="BM30" s="34">
        <f t="shared" si="51"/>
        <v>0.11951850505050521</v>
      </c>
      <c r="BQ30" s="22">
        <v>23</v>
      </c>
      <c r="BR30" s="121" t="str">
        <f>IF(ISBLANK(Datos!B25),"",(ABS(Datos!B24-Datos!B25)))</f>
        <v/>
      </c>
      <c r="BS30" s="121" t="str">
        <f>IF(ISBLANK(Datos!C25),"",(ABS(Datos!C24-Datos!C25)))</f>
        <v/>
      </c>
      <c r="BT30" s="121" t="str">
        <f>IF(ISBLANK(Datos!D25),"",(ABS(Datos!D24-Datos!D25)))</f>
        <v/>
      </c>
      <c r="BU30" s="21" t="str">
        <f>IF(ISBLANK(Datos!E25),"",(ABS(Datos!E24-Datos!E25)))</f>
        <v/>
      </c>
    </row>
    <row r="31" spans="1:73" x14ac:dyDescent="0.3">
      <c r="A31" s="16">
        <v>24</v>
      </c>
      <c r="B31" s="35"/>
      <c r="C31" s="32" t="e">
        <f t="shared" si="4"/>
        <v>#DIV/0!</v>
      </c>
      <c r="D31" s="32" t="e">
        <f t="shared" si="5"/>
        <v>#DIV/0!</v>
      </c>
      <c r="E31" s="32" t="e">
        <f t="shared" si="6"/>
        <v>#DIV/0!</v>
      </c>
      <c r="F31" s="32" t="e">
        <f t="shared" si="7"/>
        <v>#DIV/0!</v>
      </c>
      <c r="G31" s="32" t="e">
        <f t="shared" si="8"/>
        <v>#DIV/0!</v>
      </c>
      <c r="H31" s="32" t="e">
        <f t="shared" si="9"/>
        <v>#DIV/0!</v>
      </c>
      <c r="I31" s="32" t="e">
        <f t="shared" si="10"/>
        <v>#DIV/0!</v>
      </c>
      <c r="J31" s="32" t="e">
        <f t="shared" si="11"/>
        <v>#DIV/0!</v>
      </c>
      <c r="K31" s="33">
        <f t="shared" si="36"/>
        <v>0</v>
      </c>
      <c r="L31" s="34">
        <f t="shared" si="37"/>
        <v>0</v>
      </c>
      <c r="M31" s="33">
        <f t="shared" si="38"/>
        <v>0</v>
      </c>
      <c r="N31" s="34">
        <f t="shared" si="39"/>
        <v>0</v>
      </c>
      <c r="R31" s="16">
        <v>24</v>
      </c>
      <c r="S31" s="35">
        <v>6.41</v>
      </c>
      <c r="T31" s="32">
        <f t="shared" si="12"/>
        <v>6.3964700000000017</v>
      </c>
      <c r="U31" s="32">
        <f t="shared" si="13"/>
        <v>4.3797618818166538E-2</v>
      </c>
      <c r="V31" s="32">
        <f t="shared" si="14"/>
        <v>6.5278628564545009</v>
      </c>
      <c r="W31" s="32">
        <f t="shared" si="15"/>
        <v>6.2650771435455024</v>
      </c>
      <c r="X31" s="32">
        <f t="shared" si="16"/>
        <v>6.4840652376363348</v>
      </c>
      <c r="Y31" s="32">
        <f t="shared" si="17"/>
        <v>6.3088747623636685</v>
      </c>
      <c r="Z31" s="32">
        <f t="shared" si="18"/>
        <v>6.4402676188181678</v>
      </c>
      <c r="AA31" s="32">
        <f t="shared" si="19"/>
        <v>6.3526723811818355</v>
      </c>
      <c r="AB31" s="33">
        <f t="shared" si="40"/>
        <v>8.0000000000000071E-2</v>
      </c>
      <c r="AC31" s="34">
        <f t="shared" si="41"/>
        <v>4.2444444444444479E-2</v>
      </c>
      <c r="AD31" s="33">
        <f t="shared" si="42"/>
        <v>0</v>
      </c>
      <c r="AE31" s="34">
        <f t="shared" si="43"/>
        <v>0.13873391111111122</v>
      </c>
      <c r="AI31" s="16">
        <v>24</v>
      </c>
      <c r="AJ31" s="35">
        <v>25.71</v>
      </c>
      <c r="AK31" s="32">
        <f t="shared" si="20"/>
        <v>25.808199999999989</v>
      </c>
      <c r="AL31" s="32">
        <f t="shared" si="21"/>
        <v>7.4500084739969288E-2</v>
      </c>
      <c r="AM31" s="32">
        <f t="shared" si="22"/>
        <v>26.031700254219896</v>
      </c>
      <c r="AN31" s="32">
        <f t="shared" si="23"/>
        <v>25.584699745780082</v>
      </c>
      <c r="AO31" s="32">
        <f t="shared" si="24"/>
        <v>25.957200169479929</v>
      </c>
      <c r="AP31" s="32">
        <f t="shared" si="25"/>
        <v>25.659199830520048</v>
      </c>
      <c r="AQ31" s="32">
        <f t="shared" si="26"/>
        <v>25.882700084739959</v>
      </c>
      <c r="AR31" s="32">
        <f t="shared" si="27"/>
        <v>25.733699915260019</v>
      </c>
      <c r="AS31" s="33">
        <f t="shared" si="44"/>
        <v>0.10999999999999943</v>
      </c>
      <c r="AT31" s="34">
        <f t="shared" si="45"/>
        <v>6.6666666666666249E-2</v>
      </c>
      <c r="AU31" s="34">
        <f t="shared" si="46"/>
        <v>0</v>
      </c>
      <c r="AV31" s="34">
        <f t="shared" si="47"/>
        <v>0.21790666666666531</v>
      </c>
      <c r="AZ31" s="16">
        <v>24</v>
      </c>
      <c r="BA31" s="35">
        <v>25.61</v>
      </c>
      <c r="BB31" s="32">
        <f t="shared" si="28"/>
        <v>25.750800000000005</v>
      </c>
      <c r="BC31" s="32">
        <f t="shared" si="29"/>
        <v>5.7272695206019339E-2</v>
      </c>
      <c r="BD31" s="32">
        <f t="shared" si="30"/>
        <v>25.922618085618062</v>
      </c>
      <c r="BE31" s="32">
        <f t="shared" si="31"/>
        <v>25.578981914381949</v>
      </c>
      <c r="BF31" s="32">
        <f t="shared" si="32"/>
        <v>25.865345390412045</v>
      </c>
      <c r="BG31" s="32">
        <f t="shared" si="33"/>
        <v>25.636254609587965</v>
      </c>
      <c r="BH31" s="32">
        <f t="shared" si="34"/>
        <v>25.808072695206025</v>
      </c>
      <c r="BI31" s="32">
        <f t="shared" si="35"/>
        <v>25.693527304793985</v>
      </c>
      <c r="BJ31" s="33">
        <f t="shared" si="48"/>
        <v>0.12999999999999901</v>
      </c>
      <c r="BK31" s="34">
        <f t="shared" si="49"/>
        <v>3.6565656565656614E-2</v>
      </c>
      <c r="BL31" s="34">
        <f t="shared" si="50"/>
        <v>0</v>
      </c>
      <c r="BM31" s="34">
        <f t="shared" si="51"/>
        <v>0.11951850505050521</v>
      </c>
      <c r="BQ31" s="22">
        <v>24</v>
      </c>
      <c r="BR31" s="121" t="str">
        <f>IF(ISBLANK(Datos!B26),"",(ABS(Datos!B25-Datos!B26)))</f>
        <v/>
      </c>
      <c r="BS31" s="121" t="str">
        <f>IF(ISBLANK(Datos!C26),"",(ABS(Datos!C25-Datos!C26)))</f>
        <v/>
      </c>
      <c r="BT31" s="121" t="str">
        <f>IF(ISBLANK(Datos!D26),"",(ABS(Datos!D25-Datos!D26)))</f>
        <v/>
      </c>
      <c r="BU31" s="21" t="str">
        <f>IF(ISBLANK(Datos!E26),"",(ABS(Datos!E25-Datos!E26)))</f>
        <v/>
      </c>
    </row>
    <row r="32" spans="1:73" x14ac:dyDescent="0.3">
      <c r="A32" s="16">
        <v>25</v>
      </c>
      <c r="B32" s="35"/>
      <c r="C32" s="32" t="e">
        <f t="shared" si="4"/>
        <v>#DIV/0!</v>
      </c>
      <c r="D32" s="32" t="e">
        <f t="shared" si="5"/>
        <v>#DIV/0!</v>
      </c>
      <c r="E32" s="32" t="e">
        <f t="shared" si="6"/>
        <v>#DIV/0!</v>
      </c>
      <c r="F32" s="32" t="e">
        <f t="shared" si="7"/>
        <v>#DIV/0!</v>
      </c>
      <c r="G32" s="32" t="e">
        <f t="shared" si="8"/>
        <v>#DIV/0!</v>
      </c>
      <c r="H32" s="32" t="e">
        <f t="shared" si="9"/>
        <v>#DIV/0!</v>
      </c>
      <c r="I32" s="32" t="e">
        <f t="shared" si="10"/>
        <v>#DIV/0!</v>
      </c>
      <c r="J32" s="32" t="e">
        <f t="shared" si="11"/>
        <v>#DIV/0!</v>
      </c>
      <c r="K32" s="33">
        <f t="shared" si="36"/>
        <v>0</v>
      </c>
      <c r="L32" s="34">
        <f t="shared" si="37"/>
        <v>0</v>
      </c>
      <c r="M32" s="33">
        <f t="shared" si="38"/>
        <v>0</v>
      </c>
      <c r="N32" s="34">
        <f t="shared" si="39"/>
        <v>0</v>
      </c>
      <c r="R32" s="16">
        <v>25</v>
      </c>
      <c r="S32" s="35">
        <v>6.33</v>
      </c>
      <c r="T32" s="32">
        <f t="shared" si="12"/>
        <v>6.3964700000000017</v>
      </c>
      <c r="U32" s="32">
        <f t="shared" si="13"/>
        <v>4.3797618818166538E-2</v>
      </c>
      <c r="V32" s="32">
        <f t="shared" si="14"/>
        <v>6.5278628564545009</v>
      </c>
      <c r="W32" s="32">
        <f t="shared" si="15"/>
        <v>6.2650771435455024</v>
      </c>
      <c r="X32" s="32">
        <f t="shared" si="16"/>
        <v>6.4840652376363348</v>
      </c>
      <c r="Y32" s="32">
        <f t="shared" si="17"/>
        <v>6.3088747623636685</v>
      </c>
      <c r="Z32" s="32">
        <f t="shared" si="18"/>
        <v>6.4402676188181678</v>
      </c>
      <c r="AA32" s="32">
        <f t="shared" si="19"/>
        <v>6.3526723811818355</v>
      </c>
      <c r="AB32" s="33">
        <f t="shared" si="40"/>
        <v>8.0000000000000071E-2</v>
      </c>
      <c r="AC32" s="34">
        <f t="shared" si="41"/>
        <v>4.2444444444444479E-2</v>
      </c>
      <c r="AD32" s="33">
        <f t="shared" si="42"/>
        <v>0</v>
      </c>
      <c r="AE32" s="34">
        <f t="shared" si="43"/>
        <v>0.13873391111111122</v>
      </c>
      <c r="AI32" s="16">
        <v>25</v>
      </c>
      <c r="AJ32" s="35">
        <v>25.72</v>
      </c>
      <c r="AK32" s="32">
        <f t="shared" si="20"/>
        <v>25.808199999999989</v>
      </c>
      <c r="AL32" s="32">
        <f t="shared" si="21"/>
        <v>7.4500084739969288E-2</v>
      </c>
      <c r="AM32" s="32">
        <f t="shared" si="22"/>
        <v>26.031700254219896</v>
      </c>
      <c r="AN32" s="32">
        <f t="shared" si="23"/>
        <v>25.584699745780082</v>
      </c>
      <c r="AO32" s="32">
        <f t="shared" si="24"/>
        <v>25.957200169479929</v>
      </c>
      <c r="AP32" s="32">
        <f t="shared" si="25"/>
        <v>25.659199830520048</v>
      </c>
      <c r="AQ32" s="32">
        <f t="shared" si="26"/>
        <v>25.882700084739959</v>
      </c>
      <c r="AR32" s="32">
        <f t="shared" si="27"/>
        <v>25.733699915260019</v>
      </c>
      <c r="AS32" s="33">
        <f t="shared" si="44"/>
        <v>9.9999999999980105E-3</v>
      </c>
      <c r="AT32" s="34">
        <f t="shared" si="45"/>
        <v>6.6666666666666249E-2</v>
      </c>
      <c r="AU32" s="34">
        <f t="shared" si="46"/>
        <v>0</v>
      </c>
      <c r="AV32" s="34">
        <f t="shared" si="47"/>
        <v>0.21790666666666531</v>
      </c>
      <c r="AZ32" s="16">
        <v>25</v>
      </c>
      <c r="BA32" s="35">
        <v>25.73</v>
      </c>
      <c r="BB32" s="32">
        <f t="shared" si="28"/>
        <v>25.750800000000005</v>
      </c>
      <c r="BC32" s="32">
        <f t="shared" si="29"/>
        <v>5.7272695206019339E-2</v>
      </c>
      <c r="BD32" s="32">
        <f t="shared" si="30"/>
        <v>25.922618085618062</v>
      </c>
      <c r="BE32" s="32">
        <f t="shared" si="31"/>
        <v>25.578981914381949</v>
      </c>
      <c r="BF32" s="32">
        <f t="shared" si="32"/>
        <v>25.865345390412045</v>
      </c>
      <c r="BG32" s="32">
        <f t="shared" si="33"/>
        <v>25.636254609587965</v>
      </c>
      <c r="BH32" s="32">
        <f t="shared" si="34"/>
        <v>25.808072695206025</v>
      </c>
      <c r="BI32" s="32">
        <f t="shared" si="35"/>
        <v>25.693527304793985</v>
      </c>
      <c r="BJ32" s="33">
        <f t="shared" si="48"/>
        <v>0.12000000000000099</v>
      </c>
      <c r="BK32" s="34">
        <f t="shared" si="49"/>
        <v>3.6565656565656614E-2</v>
      </c>
      <c r="BL32" s="34">
        <f t="shared" si="50"/>
        <v>0</v>
      </c>
      <c r="BM32" s="34">
        <f t="shared" si="51"/>
        <v>0.11951850505050521</v>
      </c>
      <c r="BQ32" s="22">
        <v>25</v>
      </c>
      <c r="BR32" s="121" t="str">
        <f>IF(ISBLANK(Datos!B27),"",(ABS(Datos!B26-Datos!B27)))</f>
        <v/>
      </c>
      <c r="BS32" s="121" t="str">
        <f>IF(ISBLANK(Datos!C27),"",(ABS(Datos!C26-Datos!C27)))</f>
        <v/>
      </c>
      <c r="BT32" s="121" t="str">
        <f>IF(ISBLANK(Datos!D27),"",(ABS(Datos!D26-Datos!D27)))</f>
        <v/>
      </c>
      <c r="BU32" s="21" t="str">
        <f>IF(ISBLANK(Datos!E27),"",(ABS(Datos!E26-Datos!E27)))</f>
        <v/>
      </c>
    </row>
    <row r="33" spans="1:73" x14ac:dyDescent="0.3">
      <c r="A33" s="16">
        <v>26</v>
      </c>
      <c r="B33" s="35"/>
      <c r="C33" s="32" t="e">
        <f t="shared" si="4"/>
        <v>#DIV/0!</v>
      </c>
      <c r="D33" s="32" t="e">
        <f t="shared" si="5"/>
        <v>#DIV/0!</v>
      </c>
      <c r="E33" s="32" t="e">
        <f t="shared" si="6"/>
        <v>#DIV/0!</v>
      </c>
      <c r="F33" s="32" t="e">
        <f t="shared" si="7"/>
        <v>#DIV/0!</v>
      </c>
      <c r="G33" s="32" t="e">
        <f t="shared" si="8"/>
        <v>#DIV/0!</v>
      </c>
      <c r="H33" s="32" t="e">
        <f t="shared" si="9"/>
        <v>#DIV/0!</v>
      </c>
      <c r="I33" s="32" t="e">
        <f t="shared" si="10"/>
        <v>#DIV/0!</v>
      </c>
      <c r="J33" s="32" t="e">
        <f t="shared" si="11"/>
        <v>#DIV/0!</v>
      </c>
      <c r="K33" s="33">
        <f t="shared" si="36"/>
        <v>0</v>
      </c>
      <c r="L33" s="34">
        <f t="shared" si="37"/>
        <v>0</v>
      </c>
      <c r="M33" s="33">
        <f t="shared" si="38"/>
        <v>0</v>
      </c>
      <c r="N33" s="34">
        <f t="shared" si="39"/>
        <v>0</v>
      </c>
      <c r="R33" s="16">
        <v>26</v>
      </c>
      <c r="S33" s="35">
        <v>6.42</v>
      </c>
      <c r="T33" s="32">
        <f t="shared" si="12"/>
        <v>6.3964700000000017</v>
      </c>
      <c r="U33" s="32">
        <f t="shared" si="13"/>
        <v>4.3797618818166538E-2</v>
      </c>
      <c r="V33" s="32">
        <f t="shared" si="14"/>
        <v>6.5278628564545009</v>
      </c>
      <c r="W33" s="32">
        <f t="shared" si="15"/>
        <v>6.2650771435455024</v>
      </c>
      <c r="X33" s="32">
        <f t="shared" si="16"/>
        <v>6.4840652376363348</v>
      </c>
      <c r="Y33" s="32">
        <f t="shared" si="17"/>
        <v>6.3088747623636685</v>
      </c>
      <c r="Z33" s="32">
        <f t="shared" si="18"/>
        <v>6.4402676188181678</v>
      </c>
      <c r="AA33" s="32">
        <f t="shared" si="19"/>
        <v>6.3526723811818355</v>
      </c>
      <c r="AB33" s="33">
        <f t="shared" si="40"/>
        <v>8.9999999999999858E-2</v>
      </c>
      <c r="AC33" s="34">
        <f t="shared" si="41"/>
        <v>4.2444444444444479E-2</v>
      </c>
      <c r="AD33" s="33">
        <f t="shared" si="42"/>
        <v>0</v>
      </c>
      <c r="AE33" s="34">
        <f t="shared" si="43"/>
        <v>0.13873391111111122</v>
      </c>
      <c r="AI33" s="16">
        <v>26</v>
      </c>
      <c r="AJ33" s="35">
        <v>25.66</v>
      </c>
      <c r="AK33" s="32">
        <f t="shared" si="20"/>
        <v>25.808199999999989</v>
      </c>
      <c r="AL33" s="32">
        <f t="shared" si="21"/>
        <v>7.4500084739969288E-2</v>
      </c>
      <c r="AM33" s="32">
        <f t="shared" si="22"/>
        <v>26.031700254219896</v>
      </c>
      <c r="AN33" s="32">
        <f t="shared" si="23"/>
        <v>25.584699745780082</v>
      </c>
      <c r="AO33" s="32">
        <f t="shared" si="24"/>
        <v>25.957200169479929</v>
      </c>
      <c r="AP33" s="32">
        <f t="shared" si="25"/>
        <v>25.659199830520048</v>
      </c>
      <c r="AQ33" s="32">
        <f t="shared" si="26"/>
        <v>25.882700084739959</v>
      </c>
      <c r="AR33" s="32">
        <f t="shared" si="27"/>
        <v>25.733699915260019</v>
      </c>
      <c r="AS33" s="33">
        <f t="shared" si="44"/>
        <v>5.9999999999998721E-2</v>
      </c>
      <c r="AT33" s="34">
        <f t="shared" si="45"/>
        <v>6.6666666666666249E-2</v>
      </c>
      <c r="AU33" s="34">
        <f t="shared" si="46"/>
        <v>0</v>
      </c>
      <c r="AV33" s="34">
        <f t="shared" si="47"/>
        <v>0.21790666666666531</v>
      </c>
      <c r="AZ33" s="16">
        <v>26</v>
      </c>
      <c r="BA33" s="35">
        <v>25.72</v>
      </c>
      <c r="BB33" s="32">
        <f t="shared" si="28"/>
        <v>25.750800000000005</v>
      </c>
      <c r="BC33" s="32">
        <f t="shared" si="29"/>
        <v>5.7272695206019339E-2</v>
      </c>
      <c r="BD33" s="32">
        <f t="shared" si="30"/>
        <v>25.922618085618062</v>
      </c>
      <c r="BE33" s="32">
        <f t="shared" si="31"/>
        <v>25.578981914381949</v>
      </c>
      <c r="BF33" s="32">
        <f t="shared" si="32"/>
        <v>25.865345390412045</v>
      </c>
      <c r="BG33" s="32">
        <f t="shared" si="33"/>
        <v>25.636254609587965</v>
      </c>
      <c r="BH33" s="32">
        <f t="shared" si="34"/>
        <v>25.808072695206025</v>
      </c>
      <c r="BI33" s="32">
        <f t="shared" si="35"/>
        <v>25.693527304793985</v>
      </c>
      <c r="BJ33" s="33">
        <f t="shared" si="48"/>
        <v>1.0000000000001563E-2</v>
      </c>
      <c r="BK33" s="34">
        <f t="shared" si="49"/>
        <v>3.6565656565656614E-2</v>
      </c>
      <c r="BL33" s="34">
        <f t="shared" si="50"/>
        <v>0</v>
      </c>
      <c r="BM33" s="34">
        <f t="shared" si="51"/>
        <v>0.11951850505050521</v>
      </c>
      <c r="BQ33" s="22">
        <v>26</v>
      </c>
      <c r="BR33" s="121" t="str">
        <f>IF(ISBLANK(Datos!B28),"",(ABS(Datos!B27-Datos!B28)))</f>
        <v/>
      </c>
      <c r="BS33" s="121" t="str">
        <f>IF(ISBLANK(Datos!C28),"",(ABS(Datos!C27-Datos!C28)))</f>
        <v/>
      </c>
      <c r="BT33" s="121" t="str">
        <f>IF(ISBLANK(Datos!D28),"",(ABS(Datos!D27-Datos!D28)))</f>
        <v/>
      </c>
      <c r="BU33" s="21" t="str">
        <f>IF(ISBLANK(Datos!E28),"",(ABS(Datos!E27-Datos!E28)))</f>
        <v/>
      </c>
    </row>
    <row r="34" spans="1:73" x14ac:dyDescent="0.3">
      <c r="A34" s="16">
        <v>27</v>
      </c>
      <c r="B34" s="35"/>
      <c r="C34" s="32" t="e">
        <f t="shared" si="4"/>
        <v>#DIV/0!</v>
      </c>
      <c r="D34" s="32" t="e">
        <f t="shared" si="5"/>
        <v>#DIV/0!</v>
      </c>
      <c r="E34" s="32" t="e">
        <f t="shared" si="6"/>
        <v>#DIV/0!</v>
      </c>
      <c r="F34" s="32" t="e">
        <f t="shared" si="7"/>
        <v>#DIV/0!</v>
      </c>
      <c r="G34" s="32" t="e">
        <f t="shared" si="8"/>
        <v>#DIV/0!</v>
      </c>
      <c r="H34" s="32" t="e">
        <f t="shared" si="9"/>
        <v>#DIV/0!</v>
      </c>
      <c r="I34" s="32" t="e">
        <f t="shared" si="10"/>
        <v>#DIV/0!</v>
      </c>
      <c r="J34" s="32" t="e">
        <f t="shared" si="11"/>
        <v>#DIV/0!</v>
      </c>
      <c r="K34" s="33">
        <f t="shared" si="36"/>
        <v>0</v>
      </c>
      <c r="L34" s="34">
        <f t="shared" si="37"/>
        <v>0</v>
      </c>
      <c r="M34" s="33">
        <f t="shared" si="38"/>
        <v>0</v>
      </c>
      <c r="N34" s="34">
        <f t="shared" si="39"/>
        <v>0</v>
      </c>
      <c r="R34" s="16">
        <v>27</v>
      </c>
      <c r="S34" s="35">
        <v>6.3</v>
      </c>
      <c r="T34" s="32">
        <f t="shared" si="12"/>
        <v>6.3964700000000017</v>
      </c>
      <c r="U34" s="32">
        <f t="shared" si="13"/>
        <v>4.3797618818166538E-2</v>
      </c>
      <c r="V34" s="32">
        <f t="shared" si="14"/>
        <v>6.5278628564545009</v>
      </c>
      <c r="W34" s="32">
        <f t="shared" si="15"/>
        <v>6.2650771435455024</v>
      </c>
      <c r="X34" s="32">
        <f t="shared" si="16"/>
        <v>6.4840652376363348</v>
      </c>
      <c r="Y34" s="32">
        <f t="shared" si="17"/>
        <v>6.3088747623636685</v>
      </c>
      <c r="Z34" s="32">
        <f t="shared" si="18"/>
        <v>6.4402676188181678</v>
      </c>
      <c r="AA34" s="32">
        <f t="shared" si="19"/>
        <v>6.3526723811818355</v>
      </c>
      <c r="AB34" s="33">
        <f t="shared" si="40"/>
        <v>0.12000000000000011</v>
      </c>
      <c r="AC34" s="34">
        <f t="shared" si="41"/>
        <v>4.2444444444444479E-2</v>
      </c>
      <c r="AD34" s="33">
        <f t="shared" si="42"/>
        <v>0</v>
      </c>
      <c r="AE34" s="34">
        <f t="shared" si="43"/>
        <v>0.13873391111111122</v>
      </c>
      <c r="AI34" s="16">
        <v>27</v>
      </c>
      <c r="AJ34" s="35">
        <v>25.79</v>
      </c>
      <c r="AK34" s="32">
        <f t="shared" si="20"/>
        <v>25.808199999999989</v>
      </c>
      <c r="AL34" s="32">
        <f t="shared" si="21"/>
        <v>7.4500084739969288E-2</v>
      </c>
      <c r="AM34" s="32">
        <f t="shared" si="22"/>
        <v>26.031700254219896</v>
      </c>
      <c r="AN34" s="32">
        <f t="shared" si="23"/>
        <v>25.584699745780082</v>
      </c>
      <c r="AO34" s="32">
        <f t="shared" si="24"/>
        <v>25.957200169479929</v>
      </c>
      <c r="AP34" s="32">
        <f t="shared" si="25"/>
        <v>25.659199830520048</v>
      </c>
      <c r="AQ34" s="32">
        <f t="shared" si="26"/>
        <v>25.882700084739959</v>
      </c>
      <c r="AR34" s="32">
        <f t="shared" si="27"/>
        <v>25.733699915260019</v>
      </c>
      <c r="AS34" s="33">
        <f t="shared" si="44"/>
        <v>0.12999999999999901</v>
      </c>
      <c r="AT34" s="34">
        <f t="shared" si="45"/>
        <v>6.6666666666666249E-2</v>
      </c>
      <c r="AU34" s="34">
        <f t="shared" si="46"/>
        <v>0</v>
      </c>
      <c r="AV34" s="34">
        <f t="shared" si="47"/>
        <v>0.21790666666666531</v>
      </c>
      <c r="AZ34" s="16">
        <v>27</v>
      </c>
      <c r="BA34" s="35">
        <v>25.69</v>
      </c>
      <c r="BB34" s="32">
        <f t="shared" si="28"/>
        <v>25.750800000000005</v>
      </c>
      <c r="BC34" s="32">
        <f t="shared" si="29"/>
        <v>5.7272695206019339E-2</v>
      </c>
      <c r="BD34" s="32">
        <f t="shared" si="30"/>
        <v>25.922618085618062</v>
      </c>
      <c r="BE34" s="32">
        <f t="shared" si="31"/>
        <v>25.578981914381949</v>
      </c>
      <c r="BF34" s="32">
        <f t="shared" si="32"/>
        <v>25.865345390412045</v>
      </c>
      <c r="BG34" s="32">
        <f t="shared" si="33"/>
        <v>25.636254609587965</v>
      </c>
      <c r="BH34" s="32">
        <f t="shared" si="34"/>
        <v>25.808072695206025</v>
      </c>
      <c r="BI34" s="32">
        <f t="shared" si="35"/>
        <v>25.693527304793985</v>
      </c>
      <c r="BJ34" s="33">
        <f t="shared" si="48"/>
        <v>2.9999999999997584E-2</v>
      </c>
      <c r="BK34" s="34">
        <f t="shared" si="49"/>
        <v>3.6565656565656614E-2</v>
      </c>
      <c r="BL34" s="34">
        <f t="shared" si="50"/>
        <v>0</v>
      </c>
      <c r="BM34" s="34">
        <f t="shared" si="51"/>
        <v>0.11951850505050521</v>
      </c>
      <c r="BQ34" s="22">
        <v>27</v>
      </c>
      <c r="BR34" s="121" t="str">
        <f>IF(ISBLANK(Datos!B29),"",(ABS(Datos!B28-Datos!B29)))</f>
        <v/>
      </c>
      <c r="BS34" s="121" t="str">
        <f>IF(ISBLANK(Datos!C29),"",(ABS(Datos!C28-Datos!C29)))</f>
        <v/>
      </c>
      <c r="BT34" s="121" t="str">
        <f>IF(ISBLANK(Datos!D29),"",(ABS(Datos!D28-Datos!D29)))</f>
        <v/>
      </c>
      <c r="BU34" s="21" t="str">
        <f>IF(ISBLANK(Datos!E29),"",(ABS(Datos!E28-Datos!E29)))</f>
        <v/>
      </c>
    </row>
    <row r="35" spans="1:73" x14ac:dyDescent="0.3">
      <c r="A35" s="16">
        <v>28</v>
      </c>
      <c r="B35" s="35"/>
      <c r="C35" s="32" t="e">
        <f t="shared" si="4"/>
        <v>#DIV/0!</v>
      </c>
      <c r="D35" s="32" t="e">
        <f t="shared" si="5"/>
        <v>#DIV/0!</v>
      </c>
      <c r="E35" s="32" t="e">
        <f t="shared" si="6"/>
        <v>#DIV/0!</v>
      </c>
      <c r="F35" s="32" t="e">
        <f t="shared" si="7"/>
        <v>#DIV/0!</v>
      </c>
      <c r="G35" s="32" t="e">
        <f t="shared" si="8"/>
        <v>#DIV/0!</v>
      </c>
      <c r="H35" s="32" t="e">
        <f t="shared" si="9"/>
        <v>#DIV/0!</v>
      </c>
      <c r="I35" s="32" t="e">
        <f t="shared" si="10"/>
        <v>#DIV/0!</v>
      </c>
      <c r="J35" s="32" t="e">
        <f t="shared" si="11"/>
        <v>#DIV/0!</v>
      </c>
      <c r="K35" s="33">
        <f t="shared" si="36"/>
        <v>0</v>
      </c>
      <c r="L35" s="34">
        <f t="shared" si="37"/>
        <v>0</v>
      </c>
      <c r="M35" s="33">
        <f t="shared" si="38"/>
        <v>0</v>
      </c>
      <c r="N35" s="34">
        <f t="shared" si="39"/>
        <v>0</v>
      </c>
      <c r="R35" s="16">
        <v>28</v>
      </c>
      <c r="S35" s="35">
        <v>6.37</v>
      </c>
      <c r="T35" s="32">
        <f t="shared" si="12"/>
        <v>6.3964700000000017</v>
      </c>
      <c r="U35" s="32">
        <f t="shared" si="13"/>
        <v>4.3797618818166538E-2</v>
      </c>
      <c r="V35" s="32">
        <f t="shared" si="14"/>
        <v>6.5278628564545009</v>
      </c>
      <c r="W35" s="32">
        <f t="shared" si="15"/>
        <v>6.2650771435455024</v>
      </c>
      <c r="X35" s="32">
        <f t="shared" si="16"/>
        <v>6.4840652376363348</v>
      </c>
      <c r="Y35" s="32">
        <f t="shared" si="17"/>
        <v>6.3088747623636685</v>
      </c>
      <c r="Z35" s="32">
        <f t="shared" si="18"/>
        <v>6.4402676188181678</v>
      </c>
      <c r="AA35" s="32">
        <f t="shared" si="19"/>
        <v>6.3526723811818355</v>
      </c>
      <c r="AB35" s="33">
        <f t="shared" si="40"/>
        <v>7.0000000000000284E-2</v>
      </c>
      <c r="AC35" s="34">
        <f t="shared" si="41"/>
        <v>4.2444444444444479E-2</v>
      </c>
      <c r="AD35" s="33">
        <f t="shared" si="42"/>
        <v>0</v>
      </c>
      <c r="AE35" s="34">
        <f t="shared" si="43"/>
        <v>0.13873391111111122</v>
      </c>
      <c r="AI35" s="16">
        <v>28</v>
      </c>
      <c r="AJ35" s="35">
        <v>25.83</v>
      </c>
      <c r="AK35" s="32">
        <f t="shared" si="20"/>
        <v>25.808199999999989</v>
      </c>
      <c r="AL35" s="32">
        <f t="shared" si="21"/>
        <v>7.4500084739969288E-2</v>
      </c>
      <c r="AM35" s="32">
        <f t="shared" si="22"/>
        <v>26.031700254219896</v>
      </c>
      <c r="AN35" s="32">
        <f t="shared" si="23"/>
        <v>25.584699745780082</v>
      </c>
      <c r="AO35" s="32">
        <f t="shared" si="24"/>
        <v>25.957200169479929</v>
      </c>
      <c r="AP35" s="32">
        <f t="shared" si="25"/>
        <v>25.659199830520048</v>
      </c>
      <c r="AQ35" s="32">
        <f t="shared" si="26"/>
        <v>25.882700084739959</v>
      </c>
      <c r="AR35" s="32">
        <f t="shared" si="27"/>
        <v>25.733699915260019</v>
      </c>
      <c r="AS35" s="33">
        <f t="shared" si="44"/>
        <v>3.9999999999999147E-2</v>
      </c>
      <c r="AT35" s="34">
        <f t="shared" si="45"/>
        <v>6.6666666666666249E-2</v>
      </c>
      <c r="AU35" s="34">
        <f t="shared" si="46"/>
        <v>0</v>
      </c>
      <c r="AV35" s="34">
        <f t="shared" si="47"/>
        <v>0.21790666666666531</v>
      </c>
      <c r="AZ35" s="16">
        <v>28</v>
      </c>
      <c r="BA35" s="35">
        <v>25.69</v>
      </c>
      <c r="BB35" s="32">
        <f t="shared" si="28"/>
        <v>25.750800000000005</v>
      </c>
      <c r="BC35" s="32">
        <f t="shared" si="29"/>
        <v>5.7272695206019339E-2</v>
      </c>
      <c r="BD35" s="32">
        <f t="shared" si="30"/>
        <v>25.922618085618062</v>
      </c>
      <c r="BE35" s="32">
        <f t="shared" si="31"/>
        <v>25.578981914381949</v>
      </c>
      <c r="BF35" s="32">
        <f t="shared" si="32"/>
        <v>25.865345390412045</v>
      </c>
      <c r="BG35" s="32">
        <f t="shared" si="33"/>
        <v>25.636254609587965</v>
      </c>
      <c r="BH35" s="32">
        <f t="shared" si="34"/>
        <v>25.808072695206025</v>
      </c>
      <c r="BI35" s="32">
        <f t="shared" si="35"/>
        <v>25.693527304793985</v>
      </c>
      <c r="BJ35" s="33">
        <f t="shared" si="48"/>
        <v>0</v>
      </c>
      <c r="BK35" s="34">
        <f t="shared" si="49"/>
        <v>3.6565656565656614E-2</v>
      </c>
      <c r="BL35" s="34">
        <f t="shared" si="50"/>
        <v>0</v>
      </c>
      <c r="BM35" s="34">
        <f t="shared" si="51"/>
        <v>0.11951850505050521</v>
      </c>
      <c r="BQ35" s="22">
        <v>28</v>
      </c>
      <c r="BR35" s="121" t="str">
        <f>IF(ISBLANK(Datos!B30),"",(ABS(Datos!B29-Datos!B30)))</f>
        <v/>
      </c>
      <c r="BS35" s="121" t="str">
        <f>IF(ISBLANK(Datos!C30),"",(ABS(Datos!C29-Datos!C30)))</f>
        <v/>
      </c>
      <c r="BT35" s="121" t="str">
        <f>IF(ISBLANK(Datos!D30),"",(ABS(Datos!D29-Datos!D30)))</f>
        <v/>
      </c>
      <c r="BU35" s="21" t="str">
        <f>IF(ISBLANK(Datos!E30),"",(ABS(Datos!E29-Datos!E30)))</f>
        <v/>
      </c>
    </row>
    <row r="36" spans="1:73" x14ac:dyDescent="0.3">
      <c r="A36" s="16">
        <v>29</v>
      </c>
      <c r="B36" s="35"/>
      <c r="C36" s="32" t="e">
        <f t="shared" si="4"/>
        <v>#DIV/0!</v>
      </c>
      <c r="D36" s="32" t="e">
        <f t="shared" si="5"/>
        <v>#DIV/0!</v>
      </c>
      <c r="E36" s="32" t="e">
        <f t="shared" si="6"/>
        <v>#DIV/0!</v>
      </c>
      <c r="F36" s="32" t="e">
        <f t="shared" si="7"/>
        <v>#DIV/0!</v>
      </c>
      <c r="G36" s="32" t="e">
        <f t="shared" si="8"/>
        <v>#DIV/0!</v>
      </c>
      <c r="H36" s="32" t="e">
        <f t="shared" si="9"/>
        <v>#DIV/0!</v>
      </c>
      <c r="I36" s="32" t="e">
        <f t="shared" si="10"/>
        <v>#DIV/0!</v>
      </c>
      <c r="J36" s="32" t="e">
        <f t="shared" si="11"/>
        <v>#DIV/0!</v>
      </c>
      <c r="K36" s="33">
        <f t="shared" si="36"/>
        <v>0</v>
      </c>
      <c r="L36" s="34">
        <f t="shared" si="37"/>
        <v>0</v>
      </c>
      <c r="M36" s="33">
        <f t="shared" si="38"/>
        <v>0</v>
      </c>
      <c r="N36" s="34">
        <f t="shared" si="39"/>
        <v>0</v>
      </c>
      <c r="R36" s="16">
        <v>29</v>
      </c>
      <c r="S36" s="35">
        <v>6.35</v>
      </c>
      <c r="T36" s="32">
        <f t="shared" si="12"/>
        <v>6.3964700000000017</v>
      </c>
      <c r="U36" s="32">
        <f t="shared" si="13"/>
        <v>4.3797618818166538E-2</v>
      </c>
      <c r="V36" s="32">
        <f t="shared" si="14"/>
        <v>6.5278628564545009</v>
      </c>
      <c r="W36" s="32">
        <f t="shared" si="15"/>
        <v>6.2650771435455024</v>
      </c>
      <c r="X36" s="32">
        <f t="shared" si="16"/>
        <v>6.4840652376363348</v>
      </c>
      <c r="Y36" s="32">
        <f t="shared" si="17"/>
        <v>6.3088747623636685</v>
      </c>
      <c r="Z36" s="32">
        <f t="shared" si="18"/>
        <v>6.4402676188181678</v>
      </c>
      <c r="AA36" s="32">
        <f t="shared" si="19"/>
        <v>6.3526723811818355</v>
      </c>
      <c r="AB36" s="33">
        <f t="shared" si="40"/>
        <v>2.0000000000000462E-2</v>
      </c>
      <c r="AC36" s="34">
        <f t="shared" si="41"/>
        <v>4.2444444444444479E-2</v>
      </c>
      <c r="AD36" s="33">
        <f t="shared" si="42"/>
        <v>0</v>
      </c>
      <c r="AE36" s="34">
        <f t="shared" si="43"/>
        <v>0.13873391111111122</v>
      </c>
      <c r="AI36" s="16">
        <v>29</v>
      </c>
      <c r="AJ36" s="35">
        <v>25.72</v>
      </c>
      <c r="AK36" s="32">
        <f t="shared" si="20"/>
        <v>25.808199999999989</v>
      </c>
      <c r="AL36" s="32">
        <f t="shared" si="21"/>
        <v>7.4500084739969288E-2</v>
      </c>
      <c r="AM36" s="32">
        <f t="shared" si="22"/>
        <v>26.031700254219896</v>
      </c>
      <c r="AN36" s="32">
        <f t="shared" si="23"/>
        <v>25.584699745780082</v>
      </c>
      <c r="AO36" s="32">
        <f t="shared" si="24"/>
        <v>25.957200169479929</v>
      </c>
      <c r="AP36" s="32">
        <f t="shared" si="25"/>
        <v>25.659199830520048</v>
      </c>
      <c r="AQ36" s="32">
        <f t="shared" si="26"/>
        <v>25.882700084739959</v>
      </c>
      <c r="AR36" s="32">
        <f t="shared" si="27"/>
        <v>25.733699915260019</v>
      </c>
      <c r="AS36" s="33">
        <f t="shared" si="44"/>
        <v>0.10999999999999943</v>
      </c>
      <c r="AT36" s="34">
        <f t="shared" si="45"/>
        <v>6.6666666666666249E-2</v>
      </c>
      <c r="AU36" s="34">
        <f t="shared" si="46"/>
        <v>0</v>
      </c>
      <c r="AV36" s="34">
        <f t="shared" si="47"/>
        <v>0.21790666666666531</v>
      </c>
      <c r="AZ36" s="16">
        <v>29</v>
      </c>
      <c r="BA36" s="35">
        <v>25.69</v>
      </c>
      <c r="BB36" s="32">
        <f t="shared" si="28"/>
        <v>25.750800000000005</v>
      </c>
      <c r="BC36" s="32">
        <f t="shared" si="29"/>
        <v>5.7272695206019339E-2</v>
      </c>
      <c r="BD36" s="32">
        <f t="shared" si="30"/>
        <v>25.922618085618062</v>
      </c>
      <c r="BE36" s="32">
        <f t="shared" si="31"/>
        <v>25.578981914381949</v>
      </c>
      <c r="BF36" s="32">
        <f t="shared" si="32"/>
        <v>25.865345390412045</v>
      </c>
      <c r="BG36" s="32">
        <f t="shared" si="33"/>
        <v>25.636254609587965</v>
      </c>
      <c r="BH36" s="32">
        <f t="shared" si="34"/>
        <v>25.808072695206025</v>
      </c>
      <c r="BI36" s="32">
        <f t="shared" si="35"/>
        <v>25.693527304793985</v>
      </c>
      <c r="BJ36" s="33">
        <f t="shared" si="48"/>
        <v>0</v>
      </c>
      <c r="BK36" s="34">
        <f t="shared" si="49"/>
        <v>3.6565656565656614E-2</v>
      </c>
      <c r="BL36" s="34">
        <f t="shared" si="50"/>
        <v>0</v>
      </c>
      <c r="BM36" s="34">
        <f t="shared" si="51"/>
        <v>0.11951850505050521</v>
      </c>
      <c r="BQ36" s="22">
        <v>29</v>
      </c>
      <c r="BR36" s="121" t="str">
        <f>IF(ISBLANK(Datos!B31),"",(ABS(Datos!B30-Datos!B31)))</f>
        <v/>
      </c>
      <c r="BS36" s="121" t="str">
        <f>IF(ISBLANK(Datos!C31),"",(ABS(Datos!C30-Datos!C31)))</f>
        <v/>
      </c>
      <c r="BT36" s="121" t="str">
        <f>IF(ISBLANK(Datos!D31),"",(ABS(Datos!D30-Datos!D31)))</f>
        <v/>
      </c>
      <c r="BU36" s="21" t="str">
        <f>IF(ISBLANK(Datos!E31),"",(ABS(Datos!E30-Datos!E31)))</f>
        <v/>
      </c>
    </row>
    <row r="37" spans="1:73" x14ac:dyDescent="0.3">
      <c r="A37" s="16">
        <v>30</v>
      </c>
      <c r="B37" s="35"/>
      <c r="C37" s="32" t="e">
        <f t="shared" si="4"/>
        <v>#DIV/0!</v>
      </c>
      <c r="D37" s="32" t="e">
        <f t="shared" si="5"/>
        <v>#DIV/0!</v>
      </c>
      <c r="E37" s="32" t="e">
        <f t="shared" si="6"/>
        <v>#DIV/0!</v>
      </c>
      <c r="F37" s="32" t="e">
        <f t="shared" si="7"/>
        <v>#DIV/0!</v>
      </c>
      <c r="G37" s="32" t="e">
        <f t="shared" si="8"/>
        <v>#DIV/0!</v>
      </c>
      <c r="H37" s="32" t="e">
        <f t="shared" si="9"/>
        <v>#DIV/0!</v>
      </c>
      <c r="I37" s="32" t="e">
        <f t="shared" si="10"/>
        <v>#DIV/0!</v>
      </c>
      <c r="J37" s="32" t="e">
        <f t="shared" si="11"/>
        <v>#DIV/0!</v>
      </c>
      <c r="K37" s="33">
        <f t="shared" ref="K37:K100" si="52">ABS(B36-B37)</f>
        <v>0</v>
      </c>
      <c r="L37" s="34">
        <f t="shared" si="37"/>
        <v>0</v>
      </c>
      <c r="M37" s="33">
        <f t="shared" si="38"/>
        <v>0</v>
      </c>
      <c r="N37" s="34">
        <f t="shared" si="39"/>
        <v>0</v>
      </c>
      <c r="R37" s="16">
        <v>30</v>
      </c>
      <c r="S37" s="35">
        <v>6.33</v>
      </c>
      <c r="T37" s="32">
        <f t="shared" si="12"/>
        <v>6.3964700000000017</v>
      </c>
      <c r="U37" s="32">
        <f t="shared" si="13"/>
        <v>4.3797618818166538E-2</v>
      </c>
      <c r="V37" s="32">
        <f t="shared" si="14"/>
        <v>6.5278628564545009</v>
      </c>
      <c r="W37" s="32">
        <f t="shared" si="15"/>
        <v>6.2650771435455024</v>
      </c>
      <c r="X37" s="32">
        <f t="shared" si="16"/>
        <v>6.4840652376363348</v>
      </c>
      <c r="Y37" s="32">
        <f t="shared" si="17"/>
        <v>6.3088747623636685</v>
      </c>
      <c r="Z37" s="32">
        <f t="shared" si="18"/>
        <v>6.4402676188181678</v>
      </c>
      <c r="AA37" s="32">
        <f t="shared" si="19"/>
        <v>6.3526723811818355</v>
      </c>
      <c r="AB37" s="33">
        <f t="shared" si="40"/>
        <v>1.9999999999999574E-2</v>
      </c>
      <c r="AC37" s="34">
        <f t="shared" si="41"/>
        <v>4.2444444444444479E-2</v>
      </c>
      <c r="AD37" s="33">
        <f t="shared" si="42"/>
        <v>0</v>
      </c>
      <c r="AE37" s="34">
        <f t="shared" si="43"/>
        <v>0.13873391111111122</v>
      </c>
      <c r="AI37" s="16">
        <v>30</v>
      </c>
      <c r="AJ37" s="82">
        <v>25.82</v>
      </c>
      <c r="AK37" s="32">
        <f t="shared" si="20"/>
        <v>25.808199999999989</v>
      </c>
      <c r="AL37" s="32">
        <f t="shared" si="21"/>
        <v>7.4500084739969288E-2</v>
      </c>
      <c r="AM37" s="32">
        <f t="shared" si="22"/>
        <v>26.031700254219896</v>
      </c>
      <c r="AN37" s="32">
        <f t="shared" si="23"/>
        <v>25.584699745780082</v>
      </c>
      <c r="AO37" s="32">
        <f t="shared" si="24"/>
        <v>25.957200169479929</v>
      </c>
      <c r="AP37" s="32">
        <f t="shared" si="25"/>
        <v>25.659199830520048</v>
      </c>
      <c r="AQ37" s="32">
        <f t="shared" si="26"/>
        <v>25.882700084739959</v>
      </c>
      <c r="AR37" s="32">
        <f t="shared" si="27"/>
        <v>25.733699915260019</v>
      </c>
      <c r="AS37" s="33">
        <f t="shared" si="44"/>
        <v>0.10000000000000142</v>
      </c>
      <c r="AT37" s="34">
        <f t="shared" si="45"/>
        <v>6.6666666666666249E-2</v>
      </c>
      <c r="AU37" s="34">
        <f t="shared" si="46"/>
        <v>0</v>
      </c>
      <c r="AV37" s="34">
        <f t="shared" si="47"/>
        <v>0.21790666666666531</v>
      </c>
      <c r="AZ37" s="16">
        <v>30</v>
      </c>
      <c r="BA37" s="35">
        <v>25.69</v>
      </c>
      <c r="BB37" s="32">
        <f t="shared" si="28"/>
        <v>25.750800000000005</v>
      </c>
      <c r="BC37" s="32">
        <f t="shared" si="29"/>
        <v>5.7272695206019339E-2</v>
      </c>
      <c r="BD37" s="32">
        <f t="shared" si="30"/>
        <v>25.922618085618062</v>
      </c>
      <c r="BE37" s="32">
        <f t="shared" si="31"/>
        <v>25.578981914381949</v>
      </c>
      <c r="BF37" s="32">
        <f t="shared" si="32"/>
        <v>25.865345390412045</v>
      </c>
      <c r="BG37" s="32">
        <f t="shared" si="33"/>
        <v>25.636254609587965</v>
      </c>
      <c r="BH37" s="32">
        <f t="shared" si="34"/>
        <v>25.808072695206025</v>
      </c>
      <c r="BI37" s="32">
        <f t="shared" si="35"/>
        <v>25.693527304793985</v>
      </c>
      <c r="BJ37" s="33">
        <f t="shared" si="48"/>
        <v>0</v>
      </c>
      <c r="BK37" s="34">
        <f t="shared" si="49"/>
        <v>3.6565656565656614E-2</v>
      </c>
      <c r="BL37" s="34">
        <f t="shared" si="50"/>
        <v>0</v>
      </c>
      <c r="BM37" s="34">
        <f t="shared" si="51"/>
        <v>0.11951850505050521</v>
      </c>
      <c r="BQ37" s="22">
        <v>30</v>
      </c>
      <c r="BR37" s="121" t="str">
        <f>IF(ISBLANK(Datos!B32),"",(ABS(Datos!B31-Datos!B32)))</f>
        <v/>
      </c>
      <c r="BS37" s="121" t="str">
        <f>IF(ISBLANK(Datos!C32),"",(ABS(Datos!C31-Datos!C32)))</f>
        <v/>
      </c>
      <c r="BT37" s="121" t="str">
        <f>IF(ISBLANK(Datos!D32),"",(ABS(Datos!D31-Datos!D32)))</f>
        <v/>
      </c>
      <c r="BU37" s="21" t="str">
        <f>IF(ISBLANK(Datos!E32),"",(ABS(Datos!E31-Datos!E32)))</f>
        <v/>
      </c>
    </row>
    <row r="38" spans="1:73" x14ac:dyDescent="0.3">
      <c r="A38" s="16">
        <v>31</v>
      </c>
      <c r="B38" s="35"/>
      <c r="C38" s="32" t="e">
        <f t="shared" si="4"/>
        <v>#DIV/0!</v>
      </c>
      <c r="D38" s="32" t="e">
        <f t="shared" si="5"/>
        <v>#DIV/0!</v>
      </c>
      <c r="E38" s="32" t="e">
        <f t="shared" si="6"/>
        <v>#DIV/0!</v>
      </c>
      <c r="F38" s="32" t="e">
        <f t="shared" si="7"/>
        <v>#DIV/0!</v>
      </c>
      <c r="G38" s="32" t="e">
        <f t="shared" si="8"/>
        <v>#DIV/0!</v>
      </c>
      <c r="H38" s="32" t="e">
        <f t="shared" si="9"/>
        <v>#DIV/0!</v>
      </c>
      <c r="I38" s="32" t="e">
        <f t="shared" si="10"/>
        <v>#DIV/0!</v>
      </c>
      <c r="J38" s="32" t="e">
        <f t="shared" si="11"/>
        <v>#DIV/0!</v>
      </c>
      <c r="K38" s="33">
        <f t="shared" si="52"/>
        <v>0</v>
      </c>
      <c r="L38" s="34">
        <f t="shared" si="37"/>
        <v>0</v>
      </c>
      <c r="M38" s="33">
        <f t="shared" si="38"/>
        <v>0</v>
      </c>
      <c r="N38" s="34">
        <f t="shared" si="39"/>
        <v>0</v>
      </c>
      <c r="R38" s="16">
        <v>31</v>
      </c>
      <c r="S38" s="35">
        <v>6.42</v>
      </c>
      <c r="T38" s="32">
        <f t="shared" si="12"/>
        <v>6.3964700000000017</v>
      </c>
      <c r="U38" s="32">
        <f t="shared" si="13"/>
        <v>4.3797618818166538E-2</v>
      </c>
      <c r="V38" s="32">
        <f t="shared" si="14"/>
        <v>6.5278628564545009</v>
      </c>
      <c r="W38" s="32">
        <f t="shared" si="15"/>
        <v>6.2650771435455024</v>
      </c>
      <c r="X38" s="32">
        <f t="shared" si="16"/>
        <v>6.4840652376363348</v>
      </c>
      <c r="Y38" s="32">
        <f t="shared" si="17"/>
        <v>6.3088747623636685</v>
      </c>
      <c r="Z38" s="32">
        <f t="shared" si="18"/>
        <v>6.4402676188181678</v>
      </c>
      <c r="AA38" s="32">
        <f t="shared" si="19"/>
        <v>6.3526723811818355</v>
      </c>
      <c r="AB38" s="33">
        <f t="shared" si="40"/>
        <v>8.9999999999999858E-2</v>
      </c>
      <c r="AC38" s="34">
        <f t="shared" si="41"/>
        <v>4.2444444444444479E-2</v>
      </c>
      <c r="AD38" s="33">
        <f t="shared" si="42"/>
        <v>0</v>
      </c>
      <c r="AE38" s="34">
        <f t="shared" si="43"/>
        <v>0.13873391111111122</v>
      </c>
      <c r="AI38" s="16">
        <v>31</v>
      </c>
      <c r="AJ38" s="83">
        <v>25.79</v>
      </c>
      <c r="AK38" s="32">
        <f t="shared" si="20"/>
        <v>25.808199999999989</v>
      </c>
      <c r="AL38" s="32">
        <f t="shared" si="21"/>
        <v>7.4500084739969288E-2</v>
      </c>
      <c r="AM38" s="32">
        <f t="shared" si="22"/>
        <v>26.031700254219896</v>
      </c>
      <c r="AN38" s="32">
        <f t="shared" si="23"/>
        <v>25.584699745780082</v>
      </c>
      <c r="AO38" s="32">
        <f t="shared" si="24"/>
        <v>25.957200169479929</v>
      </c>
      <c r="AP38" s="32">
        <f t="shared" si="25"/>
        <v>25.659199830520048</v>
      </c>
      <c r="AQ38" s="32">
        <f t="shared" si="26"/>
        <v>25.882700084739959</v>
      </c>
      <c r="AR38" s="32">
        <f t="shared" si="27"/>
        <v>25.733699915260019</v>
      </c>
      <c r="AS38" s="33">
        <f t="shared" si="44"/>
        <v>3.0000000000001137E-2</v>
      </c>
      <c r="AT38" s="34">
        <f t="shared" si="45"/>
        <v>6.6666666666666249E-2</v>
      </c>
      <c r="AU38" s="34">
        <f t="shared" si="46"/>
        <v>0</v>
      </c>
      <c r="AV38" s="34">
        <f t="shared" si="47"/>
        <v>0.21790666666666531</v>
      </c>
      <c r="AZ38" s="16">
        <v>31</v>
      </c>
      <c r="BA38" s="35">
        <v>25.68</v>
      </c>
      <c r="BB38" s="32">
        <f t="shared" si="28"/>
        <v>25.750800000000005</v>
      </c>
      <c r="BC38" s="32">
        <f t="shared" si="29"/>
        <v>5.7272695206019339E-2</v>
      </c>
      <c r="BD38" s="32">
        <f t="shared" si="30"/>
        <v>25.922618085618062</v>
      </c>
      <c r="BE38" s="32">
        <f t="shared" si="31"/>
        <v>25.578981914381949</v>
      </c>
      <c r="BF38" s="32">
        <f t="shared" si="32"/>
        <v>25.865345390412045</v>
      </c>
      <c r="BG38" s="32">
        <f t="shared" si="33"/>
        <v>25.636254609587965</v>
      </c>
      <c r="BH38" s="32">
        <f t="shared" si="34"/>
        <v>25.808072695206025</v>
      </c>
      <c r="BI38" s="32">
        <f t="shared" si="35"/>
        <v>25.693527304793985</v>
      </c>
      <c r="BJ38" s="33">
        <f t="shared" si="48"/>
        <v>1.0000000000001563E-2</v>
      </c>
      <c r="BK38" s="34">
        <f t="shared" si="49"/>
        <v>3.6565656565656614E-2</v>
      </c>
      <c r="BL38" s="34">
        <f t="shared" si="50"/>
        <v>0</v>
      </c>
      <c r="BM38" s="34">
        <f t="shared" si="51"/>
        <v>0.11951850505050521</v>
      </c>
      <c r="BQ38" s="22">
        <v>31</v>
      </c>
      <c r="BR38" s="121" t="str">
        <f>IF(ISBLANK(Datos!B33),"",(ABS(Datos!B32-Datos!B33)))</f>
        <v/>
      </c>
      <c r="BS38" s="121" t="str">
        <f>IF(ISBLANK(Datos!C33),"",(ABS(Datos!C32-Datos!C33)))</f>
        <v/>
      </c>
      <c r="BT38" s="121" t="str">
        <f>IF(ISBLANK(Datos!D33),"",(ABS(Datos!D32-Datos!D33)))</f>
        <v/>
      </c>
      <c r="BU38" s="21" t="str">
        <f>IF(ISBLANK(Datos!E33),"",(ABS(Datos!E32-Datos!E33)))</f>
        <v/>
      </c>
    </row>
    <row r="39" spans="1:73" x14ac:dyDescent="0.3">
      <c r="A39" s="16">
        <v>32</v>
      </c>
      <c r="B39" s="35"/>
      <c r="C39" s="32" t="e">
        <f t="shared" si="4"/>
        <v>#DIV/0!</v>
      </c>
      <c r="D39" s="32" t="e">
        <f t="shared" si="5"/>
        <v>#DIV/0!</v>
      </c>
      <c r="E39" s="32" t="e">
        <f t="shared" si="6"/>
        <v>#DIV/0!</v>
      </c>
      <c r="F39" s="32" t="e">
        <f t="shared" si="7"/>
        <v>#DIV/0!</v>
      </c>
      <c r="G39" s="32" t="e">
        <f t="shared" si="8"/>
        <v>#DIV/0!</v>
      </c>
      <c r="H39" s="32" t="e">
        <f t="shared" si="9"/>
        <v>#DIV/0!</v>
      </c>
      <c r="I39" s="32" t="e">
        <f t="shared" si="10"/>
        <v>#DIV/0!</v>
      </c>
      <c r="J39" s="32" t="e">
        <f t="shared" si="11"/>
        <v>#DIV/0!</v>
      </c>
      <c r="K39" s="33">
        <f t="shared" si="52"/>
        <v>0</v>
      </c>
      <c r="L39" s="34">
        <f t="shared" si="37"/>
        <v>0</v>
      </c>
      <c r="M39" s="33">
        <f t="shared" si="38"/>
        <v>0</v>
      </c>
      <c r="N39" s="34">
        <f t="shared" si="39"/>
        <v>0</v>
      </c>
      <c r="R39" s="16">
        <v>32</v>
      </c>
      <c r="S39" s="35">
        <v>6.39</v>
      </c>
      <c r="T39" s="32">
        <f t="shared" si="12"/>
        <v>6.3964700000000017</v>
      </c>
      <c r="U39" s="32">
        <f t="shared" si="13"/>
        <v>4.3797618818166538E-2</v>
      </c>
      <c r="V39" s="32">
        <f t="shared" si="14"/>
        <v>6.5278628564545009</v>
      </c>
      <c r="W39" s="32">
        <f t="shared" si="15"/>
        <v>6.2650771435455024</v>
      </c>
      <c r="X39" s="32">
        <f t="shared" si="16"/>
        <v>6.4840652376363348</v>
      </c>
      <c r="Y39" s="32">
        <f t="shared" si="17"/>
        <v>6.3088747623636685</v>
      </c>
      <c r="Z39" s="32">
        <f t="shared" si="18"/>
        <v>6.4402676188181678</v>
      </c>
      <c r="AA39" s="32">
        <f t="shared" si="19"/>
        <v>6.3526723811818355</v>
      </c>
      <c r="AB39" s="33">
        <f t="shared" si="40"/>
        <v>3.0000000000000249E-2</v>
      </c>
      <c r="AC39" s="34">
        <f t="shared" si="41"/>
        <v>4.2444444444444479E-2</v>
      </c>
      <c r="AD39" s="33">
        <f t="shared" si="42"/>
        <v>0</v>
      </c>
      <c r="AE39" s="34">
        <f t="shared" si="43"/>
        <v>0.13873391111111122</v>
      </c>
      <c r="AI39" s="16">
        <v>32</v>
      </c>
      <c r="AJ39" s="84">
        <v>25.73</v>
      </c>
      <c r="AK39" s="32">
        <f t="shared" si="20"/>
        <v>25.808199999999989</v>
      </c>
      <c r="AL39" s="32">
        <f t="shared" si="21"/>
        <v>7.4500084739969288E-2</v>
      </c>
      <c r="AM39" s="32">
        <f t="shared" si="22"/>
        <v>26.031700254219896</v>
      </c>
      <c r="AN39" s="32">
        <f t="shared" si="23"/>
        <v>25.584699745780082</v>
      </c>
      <c r="AO39" s="32">
        <f t="shared" si="24"/>
        <v>25.957200169479929</v>
      </c>
      <c r="AP39" s="32">
        <f t="shared" si="25"/>
        <v>25.659199830520048</v>
      </c>
      <c r="AQ39" s="32">
        <f t="shared" si="26"/>
        <v>25.882700084739959</v>
      </c>
      <c r="AR39" s="32">
        <f t="shared" si="27"/>
        <v>25.733699915260019</v>
      </c>
      <c r="AS39" s="33">
        <f t="shared" si="44"/>
        <v>5.9999999999998721E-2</v>
      </c>
      <c r="AT39" s="34">
        <f t="shared" si="45"/>
        <v>6.6666666666666249E-2</v>
      </c>
      <c r="AU39" s="34">
        <f t="shared" si="46"/>
        <v>0</v>
      </c>
      <c r="AV39" s="34">
        <f t="shared" si="47"/>
        <v>0.21790666666666531</v>
      </c>
      <c r="AZ39" s="16">
        <v>32</v>
      </c>
      <c r="BA39" s="35">
        <v>25.75</v>
      </c>
      <c r="BB39" s="32">
        <f t="shared" si="28"/>
        <v>25.750800000000005</v>
      </c>
      <c r="BC39" s="32">
        <f t="shared" si="29"/>
        <v>5.7272695206019339E-2</v>
      </c>
      <c r="BD39" s="32">
        <f t="shared" si="30"/>
        <v>25.922618085618062</v>
      </c>
      <c r="BE39" s="32">
        <f t="shared" si="31"/>
        <v>25.578981914381949</v>
      </c>
      <c r="BF39" s="32">
        <f t="shared" si="32"/>
        <v>25.865345390412045</v>
      </c>
      <c r="BG39" s="32">
        <f t="shared" si="33"/>
        <v>25.636254609587965</v>
      </c>
      <c r="BH39" s="32">
        <f t="shared" si="34"/>
        <v>25.808072695206025</v>
      </c>
      <c r="BI39" s="32">
        <f t="shared" si="35"/>
        <v>25.693527304793985</v>
      </c>
      <c r="BJ39" s="33">
        <f t="shared" si="48"/>
        <v>7.0000000000000284E-2</v>
      </c>
      <c r="BK39" s="34">
        <f t="shared" si="49"/>
        <v>3.6565656565656614E-2</v>
      </c>
      <c r="BL39" s="34">
        <f t="shared" si="50"/>
        <v>0</v>
      </c>
      <c r="BM39" s="34">
        <f t="shared" si="51"/>
        <v>0.11951850505050521</v>
      </c>
      <c r="BQ39" s="22">
        <v>32</v>
      </c>
      <c r="BR39" s="121" t="str">
        <f>IF(ISBLANK(Datos!B34),"",(ABS(Datos!B33-Datos!B34)))</f>
        <v/>
      </c>
      <c r="BS39" s="121" t="str">
        <f>IF(ISBLANK(Datos!C34),"",(ABS(Datos!C33-Datos!C34)))</f>
        <v/>
      </c>
      <c r="BT39" s="121" t="str">
        <f>IF(ISBLANK(Datos!D34),"",(ABS(Datos!D33-Datos!D34)))</f>
        <v/>
      </c>
      <c r="BU39" s="21" t="str">
        <f>IF(ISBLANK(Datos!E34),"",(ABS(Datos!E33-Datos!E34)))</f>
        <v/>
      </c>
    </row>
    <row r="40" spans="1:73" x14ac:dyDescent="0.3">
      <c r="A40" s="16">
        <v>33</v>
      </c>
      <c r="B40" s="35"/>
      <c r="C40" s="32" t="e">
        <f t="shared" si="4"/>
        <v>#DIV/0!</v>
      </c>
      <c r="D40" s="32" t="e">
        <f t="shared" si="5"/>
        <v>#DIV/0!</v>
      </c>
      <c r="E40" s="32" t="e">
        <f t="shared" si="6"/>
        <v>#DIV/0!</v>
      </c>
      <c r="F40" s="32" t="e">
        <f t="shared" si="7"/>
        <v>#DIV/0!</v>
      </c>
      <c r="G40" s="32" t="e">
        <f t="shared" si="8"/>
        <v>#DIV/0!</v>
      </c>
      <c r="H40" s="32" t="e">
        <f t="shared" si="9"/>
        <v>#DIV/0!</v>
      </c>
      <c r="I40" s="32" t="e">
        <f t="shared" si="10"/>
        <v>#DIV/0!</v>
      </c>
      <c r="J40" s="32" t="e">
        <f t="shared" si="11"/>
        <v>#DIV/0!</v>
      </c>
      <c r="K40" s="33">
        <f t="shared" si="52"/>
        <v>0</v>
      </c>
      <c r="L40" s="34">
        <f t="shared" si="37"/>
        <v>0</v>
      </c>
      <c r="M40" s="33">
        <f t="shared" si="38"/>
        <v>0</v>
      </c>
      <c r="N40" s="34">
        <f t="shared" si="39"/>
        <v>0</v>
      </c>
      <c r="R40" s="16">
        <v>33</v>
      </c>
      <c r="S40" s="35">
        <v>6.34</v>
      </c>
      <c r="T40" s="32">
        <f t="shared" si="12"/>
        <v>6.3964700000000017</v>
      </c>
      <c r="U40" s="32">
        <f t="shared" si="13"/>
        <v>4.3797618818166538E-2</v>
      </c>
      <c r="V40" s="32">
        <f t="shared" si="14"/>
        <v>6.5278628564545009</v>
      </c>
      <c r="W40" s="32">
        <f t="shared" si="15"/>
        <v>6.2650771435455024</v>
      </c>
      <c r="X40" s="32">
        <f t="shared" si="16"/>
        <v>6.4840652376363348</v>
      </c>
      <c r="Y40" s="32">
        <f t="shared" si="17"/>
        <v>6.3088747623636685</v>
      </c>
      <c r="Z40" s="32">
        <f t="shared" si="18"/>
        <v>6.4402676188181678</v>
      </c>
      <c r="AA40" s="32">
        <f t="shared" si="19"/>
        <v>6.3526723811818355</v>
      </c>
      <c r="AB40" s="33">
        <f t="shared" si="40"/>
        <v>4.9999999999999822E-2</v>
      </c>
      <c r="AC40" s="34">
        <f t="shared" si="41"/>
        <v>4.2444444444444479E-2</v>
      </c>
      <c r="AD40" s="33">
        <f t="shared" si="42"/>
        <v>0</v>
      </c>
      <c r="AE40" s="34">
        <f t="shared" si="43"/>
        <v>0.13873391111111122</v>
      </c>
      <c r="AI40" s="16">
        <v>33</v>
      </c>
      <c r="AJ40" s="84">
        <v>25.64</v>
      </c>
      <c r="AK40" s="32">
        <f t="shared" si="20"/>
        <v>25.808199999999989</v>
      </c>
      <c r="AL40" s="32">
        <f t="shared" si="21"/>
        <v>7.4500084739969288E-2</v>
      </c>
      <c r="AM40" s="32">
        <f t="shared" si="22"/>
        <v>26.031700254219896</v>
      </c>
      <c r="AN40" s="32">
        <f t="shared" si="23"/>
        <v>25.584699745780082</v>
      </c>
      <c r="AO40" s="32">
        <f t="shared" si="24"/>
        <v>25.957200169479929</v>
      </c>
      <c r="AP40" s="32">
        <f t="shared" si="25"/>
        <v>25.659199830520048</v>
      </c>
      <c r="AQ40" s="32">
        <f t="shared" si="26"/>
        <v>25.882700084739959</v>
      </c>
      <c r="AR40" s="32">
        <f t="shared" si="27"/>
        <v>25.733699915260019</v>
      </c>
      <c r="AS40" s="33">
        <f t="shared" si="44"/>
        <v>8.9999999999999858E-2</v>
      </c>
      <c r="AT40" s="34">
        <f t="shared" si="45"/>
        <v>6.6666666666666249E-2</v>
      </c>
      <c r="AU40" s="34">
        <f t="shared" si="46"/>
        <v>0</v>
      </c>
      <c r="AV40" s="34">
        <f t="shared" si="47"/>
        <v>0.21790666666666531</v>
      </c>
      <c r="AZ40" s="16">
        <v>33</v>
      </c>
      <c r="BA40" s="35">
        <v>25.72</v>
      </c>
      <c r="BB40" s="32">
        <f t="shared" si="28"/>
        <v>25.750800000000005</v>
      </c>
      <c r="BC40" s="32">
        <f t="shared" si="29"/>
        <v>5.7272695206019339E-2</v>
      </c>
      <c r="BD40" s="32">
        <f t="shared" si="30"/>
        <v>25.922618085618062</v>
      </c>
      <c r="BE40" s="32">
        <f t="shared" si="31"/>
        <v>25.578981914381949</v>
      </c>
      <c r="BF40" s="32">
        <f t="shared" si="32"/>
        <v>25.865345390412045</v>
      </c>
      <c r="BG40" s="32">
        <f t="shared" si="33"/>
        <v>25.636254609587965</v>
      </c>
      <c r="BH40" s="32">
        <f t="shared" si="34"/>
        <v>25.808072695206025</v>
      </c>
      <c r="BI40" s="32">
        <f t="shared" si="35"/>
        <v>25.693527304793985</v>
      </c>
      <c r="BJ40" s="33">
        <f t="shared" si="48"/>
        <v>3.0000000000001137E-2</v>
      </c>
      <c r="BK40" s="34">
        <f t="shared" si="49"/>
        <v>3.6565656565656614E-2</v>
      </c>
      <c r="BL40" s="34">
        <f t="shared" si="50"/>
        <v>0</v>
      </c>
      <c r="BM40" s="34">
        <f t="shared" si="51"/>
        <v>0.11951850505050521</v>
      </c>
      <c r="BQ40" s="22">
        <v>33</v>
      </c>
      <c r="BR40" s="121" t="str">
        <f>IF(ISBLANK(Datos!B35),"",(ABS(Datos!B34-Datos!B35)))</f>
        <v/>
      </c>
      <c r="BS40" s="121" t="str">
        <f>IF(ISBLANK(Datos!C35),"",(ABS(Datos!C34-Datos!C35)))</f>
        <v/>
      </c>
      <c r="BT40" s="121" t="str">
        <f>IF(ISBLANK(Datos!D35),"",(ABS(Datos!D34-Datos!D35)))</f>
        <v/>
      </c>
      <c r="BU40" s="21" t="str">
        <f>IF(ISBLANK(Datos!E35),"",(ABS(Datos!E34-Datos!E35)))</f>
        <v/>
      </c>
    </row>
    <row r="41" spans="1:73" x14ac:dyDescent="0.3">
      <c r="A41" s="16">
        <v>34</v>
      </c>
      <c r="B41" s="35"/>
      <c r="C41" s="32" t="e">
        <f t="shared" si="4"/>
        <v>#DIV/0!</v>
      </c>
      <c r="D41" s="32" t="e">
        <f t="shared" si="5"/>
        <v>#DIV/0!</v>
      </c>
      <c r="E41" s="32" t="e">
        <f t="shared" si="6"/>
        <v>#DIV/0!</v>
      </c>
      <c r="F41" s="32" t="e">
        <f t="shared" si="7"/>
        <v>#DIV/0!</v>
      </c>
      <c r="G41" s="32" t="e">
        <f t="shared" si="8"/>
        <v>#DIV/0!</v>
      </c>
      <c r="H41" s="32" t="e">
        <f t="shared" si="9"/>
        <v>#DIV/0!</v>
      </c>
      <c r="I41" s="32" t="e">
        <f t="shared" si="10"/>
        <v>#DIV/0!</v>
      </c>
      <c r="J41" s="32" t="e">
        <f t="shared" si="11"/>
        <v>#DIV/0!</v>
      </c>
      <c r="K41" s="33">
        <f t="shared" si="52"/>
        <v>0</v>
      </c>
      <c r="L41" s="34">
        <f t="shared" si="37"/>
        <v>0</v>
      </c>
      <c r="M41" s="33">
        <f t="shared" si="38"/>
        <v>0</v>
      </c>
      <c r="N41" s="34">
        <f t="shared" si="39"/>
        <v>0</v>
      </c>
      <c r="R41" s="16">
        <v>34</v>
      </c>
      <c r="S41" s="35">
        <v>6.45</v>
      </c>
      <c r="T41" s="32">
        <f t="shared" si="12"/>
        <v>6.3964700000000017</v>
      </c>
      <c r="U41" s="32">
        <f t="shared" si="13"/>
        <v>4.3797618818166538E-2</v>
      </c>
      <c r="V41" s="32">
        <f t="shared" si="14"/>
        <v>6.5278628564545009</v>
      </c>
      <c r="W41" s="32">
        <f t="shared" si="15"/>
        <v>6.2650771435455024</v>
      </c>
      <c r="X41" s="32">
        <f t="shared" si="16"/>
        <v>6.4840652376363348</v>
      </c>
      <c r="Y41" s="32">
        <f t="shared" si="17"/>
        <v>6.3088747623636685</v>
      </c>
      <c r="Z41" s="32">
        <f t="shared" si="18"/>
        <v>6.4402676188181678</v>
      </c>
      <c r="AA41" s="32">
        <f t="shared" si="19"/>
        <v>6.3526723811818355</v>
      </c>
      <c r="AB41" s="33">
        <f t="shared" si="40"/>
        <v>0.11000000000000032</v>
      </c>
      <c r="AC41" s="34">
        <f t="shared" si="41"/>
        <v>4.2444444444444479E-2</v>
      </c>
      <c r="AD41" s="33">
        <f t="shared" si="42"/>
        <v>0</v>
      </c>
      <c r="AE41" s="34">
        <f t="shared" si="43"/>
        <v>0.13873391111111122</v>
      </c>
      <c r="AI41" s="16">
        <v>34</v>
      </c>
      <c r="AJ41" s="84">
        <v>25.81</v>
      </c>
      <c r="AK41" s="32">
        <f t="shared" si="20"/>
        <v>25.808199999999989</v>
      </c>
      <c r="AL41" s="32">
        <f t="shared" si="21"/>
        <v>7.4500084739969288E-2</v>
      </c>
      <c r="AM41" s="32">
        <f t="shared" si="22"/>
        <v>26.031700254219896</v>
      </c>
      <c r="AN41" s="32">
        <f t="shared" si="23"/>
        <v>25.584699745780082</v>
      </c>
      <c r="AO41" s="32">
        <f t="shared" si="24"/>
        <v>25.957200169479929</v>
      </c>
      <c r="AP41" s="32">
        <f t="shared" si="25"/>
        <v>25.659199830520048</v>
      </c>
      <c r="AQ41" s="32">
        <f t="shared" si="26"/>
        <v>25.882700084739959</v>
      </c>
      <c r="AR41" s="32">
        <f t="shared" si="27"/>
        <v>25.733699915260019</v>
      </c>
      <c r="AS41" s="33">
        <f t="shared" si="44"/>
        <v>0.16999999999999815</v>
      </c>
      <c r="AT41" s="34">
        <f t="shared" si="45"/>
        <v>6.6666666666666249E-2</v>
      </c>
      <c r="AU41" s="34">
        <f t="shared" si="46"/>
        <v>0</v>
      </c>
      <c r="AV41" s="34">
        <f t="shared" si="47"/>
        <v>0.21790666666666531</v>
      </c>
      <c r="AZ41" s="16">
        <v>34</v>
      </c>
      <c r="BA41" s="35">
        <v>25.72</v>
      </c>
      <c r="BB41" s="32">
        <f t="shared" si="28"/>
        <v>25.750800000000005</v>
      </c>
      <c r="BC41" s="32">
        <f t="shared" si="29"/>
        <v>5.7272695206019339E-2</v>
      </c>
      <c r="BD41" s="32">
        <f t="shared" si="30"/>
        <v>25.922618085618062</v>
      </c>
      <c r="BE41" s="32">
        <f t="shared" si="31"/>
        <v>25.578981914381949</v>
      </c>
      <c r="BF41" s="32">
        <f t="shared" si="32"/>
        <v>25.865345390412045</v>
      </c>
      <c r="BG41" s="32">
        <f t="shared" si="33"/>
        <v>25.636254609587965</v>
      </c>
      <c r="BH41" s="32">
        <f t="shared" si="34"/>
        <v>25.808072695206025</v>
      </c>
      <c r="BI41" s="32">
        <f t="shared" si="35"/>
        <v>25.693527304793985</v>
      </c>
      <c r="BJ41" s="33">
        <f t="shared" si="48"/>
        <v>0</v>
      </c>
      <c r="BK41" s="34">
        <f t="shared" si="49"/>
        <v>3.6565656565656614E-2</v>
      </c>
      <c r="BL41" s="34">
        <f t="shared" si="50"/>
        <v>0</v>
      </c>
      <c r="BM41" s="34">
        <f t="shared" si="51"/>
        <v>0.11951850505050521</v>
      </c>
      <c r="BQ41" s="22">
        <v>34</v>
      </c>
      <c r="BR41" s="121" t="str">
        <f>IF(ISBLANK(Datos!B36),"",(ABS(Datos!B35-Datos!B36)))</f>
        <v/>
      </c>
      <c r="BS41" s="121" t="str">
        <f>IF(ISBLANK(Datos!C36),"",(ABS(Datos!C35-Datos!C36)))</f>
        <v/>
      </c>
      <c r="BT41" s="121" t="str">
        <f>IF(ISBLANK(Datos!D36),"",(ABS(Datos!D35-Datos!D36)))</f>
        <v/>
      </c>
      <c r="BU41" s="21" t="str">
        <f>IF(ISBLANK(Datos!E36),"",(ABS(Datos!E35-Datos!E36)))</f>
        <v/>
      </c>
    </row>
    <row r="42" spans="1:73" x14ac:dyDescent="0.3">
      <c r="A42" s="16">
        <v>35</v>
      </c>
      <c r="B42" s="35"/>
      <c r="C42" s="32" t="e">
        <f t="shared" si="4"/>
        <v>#DIV/0!</v>
      </c>
      <c r="D42" s="32" t="e">
        <f t="shared" si="5"/>
        <v>#DIV/0!</v>
      </c>
      <c r="E42" s="32" t="e">
        <f t="shared" si="6"/>
        <v>#DIV/0!</v>
      </c>
      <c r="F42" s="32" t="e">
        <f t="shared" si="7"/>
        <v>#DIV/0!</v>
      </c>
      <c r="G42" s="32" t="e">
        <f t="shared" si="8"/>
        <v>#DIV/0!</v>
      </c>
      <c r="H42" s="32" t="e">
        <f t="shared" si="9"/>
        <v>#DIV/0!</v>
      </c>
      <c r="I42" s="32" t="e">
        <f t="shared" si="10"/>
        <v>#DIV/0!</v>
      </c>
      <c r="J42" s="32" t="e">
        <f t="shared" si="11"/>
        <v>#DIV/0!</v>
      </c>
      <c r="K42" s="33">
        <f t="shared" si="52"/>
        <v>0</v>
      </c>
      <c r="L42" s="34">
        <f t="shared" si="37"/>
        <v>0</v>
      </c>
      <c r="M42" s="33">
        <f t="shared" si="38"/>
        <v>0</v>
      </c>
      <c r="N42" s="34">
        <f t="shared" si="39"/>
        <v>0</v>
      </c>
      <c r="R42" s="16">
        <v>35</v>
      </c>
      <c r="S42" s="35">
        <v>6.37</v>
      </c>
      <c r="T42" s="32">
        <f t="shared" si="12"/>
        <v>6.3964700000000017</v>
      </c>
      <c r="U42" s="32">
        <f t="shared" si="13"/>
        <v>4.3797618818166538E-2</v>
      </c>
      <c r="V42" s="32">
        <f t="shared" si="14"/>
        <v>6.5278628564545009</v>
      </c>
      <c r="W42" s="32">
        <f t="shared" si="15"/>
        <v>6.2650771435455024</v>
      </c>
      <c r="X42" s="32">
        <f t="shared" si="16"/>
        <v>6.4840652376363348</v>
      </c>
      <c r="Y42" s="32">
        <f t="shared" si="17"/>
        <v>6.3088747623636685</v>
      </c>
      <c r="Z42" s="32">
        <f t="shared" si="18"/>
        <v>6.4402676188181678</v>
      </c>
      <c r="AA42" s="32">
        <f t="shared" si="19"/>
        <v>6.3526723811818355</v>
      </c>
      <c r="AB42" s="33">
        <f t="shared" si="40"/>
        <v>8.0000000000000071E-2</v>
      </c>
      <c r="AC42" s="34">
        <f t="shared" si="41"/>
        <v>4.2444444444444479E-2</v>
      </c>
      <c r="AD42" s="33">
        <f t="shared" si="42"/>
        <v>0</v>
      </c>
      <c r="AE42" s="34">
        <f t="shared" si="43"/>
        <v>0.13873391111111122</v>
      </c>
      <c r="AI42" s="16">
        <v>35</v>
      </c>
      <c r="AJ42" s="84">
        <v>25.78</v>
      </c>
      <c r="AK42" s="32">
        <f t="shared" si="20"/>
        <v>25.808199999999989</v>
      </c>
      <c r="AL42" s="32">
        <f t="shared" si="21"/>
        <v>7.4500084739969288E-2</v>
      </c>
      <c r="AM42" s="32">
        <f t="shared" si="22"/>
        <v>26.031700254219896</v>
      </c>
      <c r="AN42" s="32">
        <f t="shared" si="23"/>
        <v>25.584699745780082</v>
      </c>
      <c r="AO42" s="32">
        <f t="shared" si="24"/>
        <v>25.957200169479929</v>
      </c>
      <c r="AP42" s="32">
        <f t="shared" si="25"/>
        <v>25.659199830520048</v>
      </c>
      <c r="AQ42" s="32">
        <f t="shared" si="26"/>
        <v>25.882700084739959</v>
      </c>
      <c r="AR42" s="32">
        <f t="shared" si="27"/>
        <v>25.733699915260019</v>
      </c>
      <c r="AS42" s="33">
        <f t="shared" si="44"/>
        <v>2.9999999999997584E-2</v>
      </c>
      <c r="AT42" s="34">
        <f t="shared" si="45"/>
        <v>6.6666666666666249E-2</v>
      </c>
      <c r="AU42" s="34">
        <f t="shared" si="46"/>
        <v>0</v>
      </c>
      <c r="AV42" s="34">
        <f t="shared" si="47"/>
        <v>0.21790666666666531</v>
      </c>
      <c r="AZ42" s="16">
        <v>35</v>
      </c>
      <c r="BA42" s="35">
        <v>25.74</v>
      </c>
      <c r="BB42" s="32">
        <f t="shared" si="28"/>
        <v>25.750800000000005</v>
      </c>
      <c r="BC42" s="32">
        <f t="shared" si="29"/>
        <v>5.7272695206019339E-2</v>
      </c>
      <c r="BD42" s="32">
        <f t="shared" si="30"/>
        <v>25.922618085618062</v>
      </c>
      <c r="BE42" s="32">
        <f t="shared" si="31"/>
        <v>25.578981914381949</v>
      </c>
      <c r="BF42" s="32">
        <f t="shared" si="32"/>
        <v>25.865345390412045</v>
      </c>
      <c r="BG42" s="32">
        <f t="shared" si="33"/>
        <v>25.636254609587965</v>
      </c>
      <c r="BH42" s="32">
        <f t="shared" si="34"/>
        <v>25.808072695206025</v>
      </c>
      <c r="BI42" s="32">
        <f t="shared" si="35"/>
        <v>25.693527304793985</v>
      </c>
      <c r="BJ42" s="33">
        <f t="shared" si="48"/>
        <v>1.9999999999999574E-2</v>
      </c>
      <c r="BK42" s="34">
        <f t="shared" si="49"/>
        <v>3.6565656565656614E-2</v>
      </c>
      <c r="BL42" s="34">
        <f t="shared" si="50"/>
        <v>0</v>
      </c>
      <c r="BM42" s="34">
        <f t="shared" si="51"/>
        <v>0.11951850505050521</v>
      </c>
      <c r="BQ42" s="22">
        <v>35</v>
      </c>
      <c r="BR42" s="121" t="str">
        <f>IF(ISBLANK(Datos!B37),"",(ABS(Datos!B36-Datos!B37)))</f>
        <v/>
      </c>
      <c r="BS42" s="121" t="str">
        <f>IF(ISBLANK(Datos!C37),"",(ABS(Datos!C36-Datos!C37)))</f>
        <v/>
      </c>
      <c r="BT42" s="121" t="str">
        <f>IF(ISBLANK(Datos!D37),"",(ABS(Datos!D36-Datos!D37)))</f>
        <v/>
      </c>
      <c r="BU42" s="21" t="str">
        <f>IF(ISBLANK(Datos!E37),"",(ABS(Datos!E36-Datos!E37)))</f>
        <v/>
      </c>
    </row>
    <row r="43" spans="1:73" x14ac:dyDescent="0.3">
      <c r="A43" s="16">
        <v>36</v>
      </c>
      <c r="B43" s="35"/>
      <c r="C43" s="32" t="e">
        <f t="shared" si="4"/>
        <v>#DIV/0!</v>
      </c>
      <c r="D43" s="32" t="e">
        <f t="shared" si="5"/>
        <v>#DIV/0!</v>
      </c>
      <c r="E43" s="32" t="e">
        <f t="shared" si="6"/>
        <v>#DIV/0!</v>
      </c>
      <c r="F43" s="32" t="e">
        <f t="shared" si="7"/>
        <v>#DIV/0!</v>
      </c>
      <c r="G43" s="32" t="e">
        <f t="shared" si="8"/>
        <v>#DIV/0!</v>
      </c>
      <c r="H43" s="32" t="e">
        <f t="shared" si="9"/>
        <v>#DIV/0!</v>
      </c>
      <c r="I43" s="32" t="e">
        <f t="shared" si="10"/>
        <v>#DIV/0!</v>
      </c>
      <c r="J43" s="32" t="e">
        <f t="shared" si="11"/>
        <v>#DIV/0!</v>
      </c>
      <c r="K43" s="33">
        <f t="shared" si="52"/>
        <v>0</v>
      </c>
      <c r="L43" s="34">
        <f t="shared" si="37"/>
        <v>0</v>
      </c>
      <c r="M43" s="33">
        <f t="shared" si="38"/>
        <v>0</v>
      </c>
      <c r="N43" s="34">
        <f t="shared" si="39"/>
        <v>0</v>
      </c>
      <c r="R43" s="16">
        <v>36</v>
      </c>
      <c r="S43" s="35">
        <v>6.43</v>
      </c>
      <c r="T43" s="32">
        <f t="shared" si="12"/>
        <v>6.3964700000000017</v>
      </c>
      <c r="U43" s="32">
        <f t="shared" si="13"/>
        <v>4.3797618818166538E-2</v>
      </c>
      <c r="V43" s="32">
        <f t="shared" si="14"/>
        <v>6.5278628564545009</v>
      </c>
      <c r="W43" s="32">
        <f t="shared" si="15"/>
        <v>6.2650771435455024</v>
      </c>
      <c r="X43" s="32">
        <f t="shared" si="16"/>
        <v>6.4840652376363348</v>
      </c>
      <c r="Y43" s="32">
        <f t="shared" si="17"/>
        <v>6.3088747623636685</v>
      </c>
      <c r="Z43" s="32">
        <f t="shared" si="18"/>
        <v>6.4402676188181678</v>
      </c>
      <c r="AA43" s="32">
        <f t="shared" si="19"/>
        <v>6.3526723811818355</v>
      </c>
      <c r="AB43" s="33">
        <f t="shared" si="40"/>
        <v>5.9999999999999609E-2</v>
      </c>
      <c r="AC43" s="34">
        <f t="shared" si="41"/>
        <v>4.2444444444444479E-2</v>
      </c>
      <c r="AD43" s="33">
        <f t="shared" si="42"/>
        <v>0</v>
      </c>
      <c r="AE43" s="34">
        <f t="shared" si="43"/>
        <v>0.13873391111111122</v>
      </c>
      <c r="AI43" s="16">
        <v>36</v>
      </c>
      <c r="AJ43" s="84">
        <v>25.8</v>
      </c>
      <c r="AK43" s="32">
        <f t="shared" si="20"/>
        <v>25.808199999999989</v>
      </c>
      <c r="AL43" s="32">
        <f t="shared" si="21"/>
        <v>7.4500084739969288E-2</v>
      </c>
      <c r="AM43" s="32">
        <f t="shared" si="22"/>
        <v>26.031700254219896</v>
      </c>
      <c r="AN43" s="32">
        <f t="shared" si="23"/>
        <v>25.584699745780082</v>
      </c>
      <c r="AO43" s="32">
        <f t="shared" si="24"/>
        <v>25.957200169479929</v>
      </c>
      <c r="AP43" s="32">
        <f t="shared" si="25"/>
        <v>25.659199830520048</v>
      </c>
      <c r="AQ43" s="32">
        <f t="shared" si="26"/>
        <v>25.882700084739959</v>
      </c>
      <c r="AR43" s="32">
        <f t="shared" si="27"/>
        <v>25.733699915260019</v>
      </c>
      <c r="AS43" s="33">
        <f t="shared" si="44"/>
        <v>1.9999999999999574E-2</v>
      </c>
      <c r="AT43" s="34">
        <f t="shared" si="45"/>
        <v>6.6666666666666249E-2</v>
      </c>
      <c r="AU43" s="34">
        <f t="shared" si="46"/>
        <v>0</v>
      </c>
      <c r="AV43" s="34">
        <f t="shared" si="47"/>
        <v>0.21790666666666531</v>
      </c>
      <c r="AZ43" s="16">
        <v>36</v>
      </c>
      <c r="BA43" s="35">
        <v>25.74</v>
      </c>
      <c r="BB43" s="32">
        <f t="shared" si="28"/>
        <v>25.750800000000005</v>
      </c>
      <c r="BC43" s="32">
        <f t="shared" si="29"/>
        <v>5.7272695206019339E-2</v>
      </c>
      <c r="BD43" s="32">
        <f t="shared" si="30"/>
        <v>25.922618085618062</v>
      </c>
      <c r="BE43" s="32">
        <f t="shared" si="31"/>
        <v>25.578981914381949</v>
      </c>
      <c r="BF43" s="32">
        <f t="shared" si="32"/>
        <v>25.865345390412045</v>
      </c>
      <c r="BG43" s="32">
        <f t="shared" si="33"/>
        <v>25.636254609587965</v>
      </c>
      <c r="BH43" s="32">
        <f t="shared" si="34"/>
        <v>25.808072695206025</v>
      </c>
      <c r="BI43" s="32">
        <f t="shared" si="35"/>
        <v>25.693527304793985</v>
      </c>
      <c r="BJ43" s="33">
        <f t="shared" si="48"/>
        <v>0</v>
      </c>
      <c r="BK43" s="34">
        <f t="shared" si="49"/>
        <v>3.6565656565656614E-2</v>
      </c>
      <c r="BL43" s="34">
        <f t="shared" si="50"/>
        <v>0</v>
      </c>
      <c r="BM43" s="34">
        <f t="shared" si="51"/>
        <v>0.11951850505050521</v>
      </c>
      <c r="BQ43" s="22">
        <v>36</v>
      </c>
      <c r="BR43" s="121" t="str">
        <f>IF(ISBLANK(Datos!B38),"",(ABS(Datos!B37-Datos!B38)))</f>
        <v/>
      </c>
      <c r="BS43" s="121" t="str">
        <f>IF(ISBLANK(Datos!C38),"",(ABS(Datos!C37-Datos!C38)))</f>
        <v/>
      </c>
      <c r="BT43" s="121" t="str">
        <f>IF(ISBLANK(Datos!D38),"",(ABS(Datos!D37-Datos!D38)))</f>
        <v/>
      </c>
      <c r="BU43" s="21" t="str">
        <f>IF(ISBLANK(Datos!E38),"",(ABS(Datos!E37-Datos!E38)))</f>
        <v/>
      </c>
    </row>
    <row r="44" spans="1:73" x14ac:dyDescent="0.3">
      <c r="A44" s="16">
        <v>37</v>
      </c>
      <c r="B44" s="35"/>
      <c r="C44" s="32" t="e">
        <f t="shared" si="4"/>
        <v>#DIV/0!</v>
      </c>
      <c r="D44" s="32" t="e">
        <f t="shared" si="5"/>
        <v>#DIV/0!</v>
      </c>
      <c r="E44" s="32" t="e">
        <f t="shared" si="6"/>
        <v>#DIV/0!</v>
      </c>
      <c r="F44" s="32" t="e">
        <f t="shared" si="7"/>
        <v>#DIV/0!</v>
      </c>
      <c r="G44" s="32" t="e">
        <f t="shared" si="8"/>
        <v>#DIV/0!</v>
      </c>
      <c r="H44" s="32" t="e">
        <f t="shared" si="9"/>
        <v>#DIV/0!</v>
      </c>
      <c r="I44" s="32" t="e">
        <f t="shared" si="10"/>
        <v>#DIV/0!</v>
      </c>
      <c r="J44" s="32" t="e">
        <f t="shared" si="11"/>
        <v>#DIV/0!</v>
      </c>
      <c r="K44" s="33">
        <f t="shared" si="52"/>
        <v>0</v>
      </c>
      <c r="L44" s="34">
        <f t="shared" si="37"/>
        <v>0</v>
      </c>
      <c r="M44" s="33">
        <f t="shared" si="38"/>
        <v>0</v>
      </c>
      <c r="N44" s="34">
        <f t="shared" si="39"/>
        <v>0</v>
      </c>
      <c r="R44" s="16">
        <v>37</v>
      </c>
      <c r="S44" s="35">
        <v>6.35</v>
      </c>
      <c r="T44" s="32">
        <f t="shared" si="12"/>
        <v>6.3964700000000017</v>
      </c>
      <c r="U44" s="32">
        <f t="shared" si="13"/>
        <v>4.3797618818166538E-2</v>
      </c>
      <c r="V44" s="32">
        <f t="shared" si="14"/>
        <v>6.5278628564545009</v>
      </c>
      <c r="W44" s="32">
        <f t="shared" si="15"/>
        <v>6.2650771435455024</v>
      </c>
      <c r="X44" s="32">
        <f t="shared" si="16"/>
        <v>6.4840652376363348</v>
      </c>
      <c r="Y44" s="32">
        <f t="shared" si="17"/>
        <v>6.3088747623636685</v>
      </c>
      <c r="Z44" s="32">
        <f t="shared" si="18"/>
        <v>6.4402676188181678</v>
      </c>
      <c r="AA44" s="32">
        <f t="shared" si="19"/>
        <v>6.3526723811818355</v>
      </c>
      <c r="AB44" s="33">
        <f t="shared" si="40"/>
        <v>8.0000000000000071E-2</v>
      </c>
      <c r="AC44" s="34">
        <f t="shared" si="41"/>
        <v>4.2444444444444479E-2</v>
      </c>
      <c r="AD44" s="33">
        <f t="shared" si="42"/>
        <v>0</v>
      </c>
      <c r="AE44" s="34">
        <f t="shared" si="43"/>
        <v>0.13873391111111122</v>
      </c>
      <c r="AI44" s="16">
        <v>37</v>
      </c>
      <c r="AJ44" s="84">
        <v>26.02</v>
      </c>
      <c r="AK44" s="32">
        <f t="shared" si="20"/>
        <v>25.808199999999989</v>
      </c>
      <c r="AL44" s="32">
        <f t="shared" si="21"/>
        <v>7.4500084739969288E-2</v>
      </c>
      <c r="AM44" s="32">
        <f t="shared" si="22"/>
        <v>26.031700254219896</v>
      </c>
      <c r="AN44" s="32">
        <f t="shared" si="23"/>
        <v>25.584699745780082</v>
      </c>
      <c r="AO44" s="32">
        <f t="shared" si="24"/>
        <v>25.957200169479929</v>
      </c>
      <c r="AP44" s="32">
        <f t="shared" si="25"/>
        <v>25.659199830520048</v>
      </c>
      <c r="AQ44" s="32">
        <f t="shared" si="26"/>
        <v>25.882700084739959</v>
      </c>
      <c r="AR44" s="32">
        <f t="shared" si="27"/>
        <v>25.733699915260019</v>
      </c>
      <c r="AS44" s="33">
        <f t="shared" si="44"/>
        <v>0.21999999999999886</v>
      </c>
      <c r="AT44" s="34">
        <f t="shared" si="45"/>
        <v>6.6666666666666249E-2</v>
      </c>
      <c r="AU44" s="34">
        <f t="shared" si="46"/>
        <v>0</v>
      </c>
      <c r="AV44" s="34">
        <f t="shared" si="47"/>
        <v>0.21790666666666531</v>
      </c>
      <c r="AZ44" s="16">
        <v>37</v>
      </c>
      <c r="BA44" s="35">
        <v>25.8</v>
      </c>
      <c r="BB44" s="32">
        <f t="shared" si="28"/>
        <v>25.750800000000005</v>
      </c>
      <c r="BC44" s="32">
        <f t="shared" si="29"/>
        <v>5.7272695206019339E-2</v>
      </c>
      <c r="BD44" s="32">
        <f t="shared" si="30"/>
        <v>25.922618085618062</v>
      </c>
      <c r="BE44" s="32">
        <f t="shared" si="31"/>
        <v>25.578981914381949</v>
      </c>
      <c r="BF44" s="32">
        <f t="shared" si="32"/>
        <v>25.865345390412045</v>
      </c>
      <c r="BG44" s="32">
        <f t="shared" si="33"/>
        <v>25.636254609587965</v>
      </c>
      <c r="BH44" s="32">
        <f t="shared" si="34"/>
        <v>25.808072695206025</v>
      </c>
      <c r="BI44" s="32">
        <f t="shared" si="35"/>
        <v>25.693527304793985</v>
      </c>
      <c r="BJ44" s="33">
        <f t="shared" si="48"/>
        <v>6.0000000000002274E-2</v>
      </c>
      <c r="BK44" s="34">
        <f t="shared" si="49"/>
        <v>3.6565656565656614E-2</v>
      </c>
      <c r="BL44" s="34">
        <f t="shared" si="50"/>
        <v>0</v>
      </c>
      <c r="BM44" s="34">
        <f t="shared" si="51"/>
        <v>0.11951850505050521</v>
      </c>
      <c r="BQ44" s="22">
        <v>37</v>
      </c>
      <c r="BR44" s="121" t="str">
        <f>IF(ISBLANK(Datos!B39),"",(ABS(Datos!B38-Datos!B39)))</f>
        <v/>
      </c>
      <c r="BS44" s="121" t="str">
        <f>IF(ISBLANK(Datos!C39),"",(ABS(Datos!C38-Datos!C39)))</f>
        <v/>
      </c>
      <c r="BT44" s="121" t="str">
        <f>IF(ISBLANK(Datos!D39),"",(ABS(Datos!D38-Datos!D39)))</f>
        <v/>
      </c>
      <c r="BU44" s="21" t="str">
        <f>IF(ISBLANK(Datos!E39),"",(ABS(Datos!E38-Datos!E39)))</f>
        <v/>
      </c>
    </row>
    <row r="45" spans="1:73" x14ac:dyDescent="0.3">
      <c r="A45" s="16">
        <v>38</v>
      </c>
      <c r="B45" s="35"/>
      <c r="C45" s="32" t="e">
        <f t="shared" si="4"/>
        <v>#DIV/0!</v>
      </c>
      <c r="D45" s="32" t="e">
        <f t="shared" si="5"/>
        <v>#DIV/0!</v>
      </c>
      <c r="E45" s="32" t="e">
        <f t="shared" si="6"/>
        <v>#DIV/0!</v>
      </c>
      <c r="F45" s="32" t="e">
        <f t="shared" si="7"/>
        <v>#DIV/0!</v>
      </c>
      <c r="G45" s="32" t="e">
        <f t="shared" si="8"/>
        <v>#DIV/0!</v>
      </c>
      <c r="H45" s="32" t="e">
        <f t="shared" si="9"/>
        <v>#DIV/0!</v>
      </c>
      <c r="I45" s="32" t="e">
        <f t="shared" si="10"/>
        <v>#DIV/0!</v>
      </c>
      <c r="J45" s="32" t="e">
        <f t="shared" si="11"/>
        <v>#DIV/0!</v>
      </c>
      <c r="K45" s="33">
        <f t="shared" si="52"/>
        <v>0</v>
      </c>
      <c r="L45" s="34">
        <f t="shared" si="37"/>
        <v>0</v>
      </c>
      <c r="M45" s="33">
        <f t="shared" si="38"/>
        <v>0</v>
      </c>
      <c r="N45" s="34">
        <f t="shared" si="39"/>
        <v>0</v>
      </c>
      <c r="R45" s="16">
        <v>38</v>
      </c>
      <c r="S45" s="35">
        <v>6.41</v>
      </c>
      <c r="T45" s="32">
        <f t="shared" si="12"/>
        <v>6.3964700000000017</v>
      </c>
      <c r="U45" s="32">
        <f t="shared" si="13"/>
        <v>4.3797618818166538E-2</v>
      </c>
      <c r="V45" s="32">
        <f t="shared" si="14"/>
        <v>6.5278628564545009</v>
      </c>
      <c r="W45" s="32">
        <f t="shared" si="15"/>
        <v>6.2650771435455024</v>
      </c>
      <c r="X45" s="32">
        <f t="shared" si="16"/>
        <v>6.4840652376363348</v>
      </c>
      <c r="Y45" s="32">
        <f t="shared" si="17"/>
        <v>6.3088747623636685</v>
      </c>
      <c r="Z45" s="32">
        <f t="shared" si="18"/>
        <v>6.4402676188181678</v>
      </c>
      <c r="AA45" s="32">
        <f t="shared" si="19"/>
        <v>6.3526723811818355</v>
      </c>
      <c r="AB45" s="33">
        <f t="shared" si="40"/>
        <v>6.0000000000000497E-2</v>
      </c>
      <c r="AC45" s="34">
        <f t="shared" si="41"/>
        <v>4.2444444444444479E-2</v>
      </c>
      <c r="AD45" s="33">
        <f t="shared" si="42"/>
        <v>0</v>
      </c>
      <c r="AE45" s="34">
        <f t="shared" si="43"/>
        <v>0.13873391111111122</v>
      </c>
      <c r="AI45" s="16">
        <v>38</v>
      </c>
      <c r="AJ45" s="84">
        <v>25.82</v>
      </c>
      <c r="AK45" s="32">
        <f t="shared" si="20"/>
        <v>25.808199999999989</v>
      </c>
      <c r="AL45" s="32">
        <f t="shared" si="21"/>
        <v>7.4500084739969288E-2</v>
      </c>
      <c r="AM45" s="32">
        <f t="shared" si="22"/>
        <v>26.031700254219896</v>
      </c>
      <c r="AN45" s="32">
        <f t="shared" si="23"/>
        <v>25.584699745780082</v>
      </c>
      <c r="AO45" s="32">
        <f t="shared" si="24"/>
        <v>25.957200169479929</v>
      </c>
      <c r="AP45" s="32">
        <f t="shared" si="25"/>
        <v>25.659199830520048</v>
      </c>
      <c r="AQ45" s="32">
        <f t="shared" si="26"/>
        <v>25.882700084739959</v>
      </c>
      <c r="AR45" s="32">
        <f t="shared" si="27"/>
        <v>25.733699915260019</v>
      </c>
      <c r="AS45" s="33">
        <f t="shared" si="44"/>
        <v>0.19999999999999929</v>
      </c>
      <c r="AT45" s="34">
        <f t="shared" si="45"/>
        <v>6.6666666666666249E-2</v>
      </c>
      <c r="AU45" s="34">
        <f t="shared" si="46"/>
        <v>0</v>
      </c>
      <c r="AV45" s="34">
        <f t="shared" si="47"/>
        <v>0.21790666666666531</v>
      </c>
      <c r="AZ45" s="16">
        <v>38</v>
      </c>
      <c r="BA45" s="35">
        <v>25.72</v>
      </c>
      <c r="BB45" s="32">
        <f t="shared" si="28"/>
        <v>25.750800000000005</v>
      </c>
      <c r="BC45" s="32">
        <f t="shared" si="29"/>
        <v>5.7272695206019339E-2</v>
      </c>
      <c r="BD45" s="32">
        <f t="shared" si="30"/>
        <v>25.922618085618062</v>
      </c>
      <c r="BE45" s="32">
        <f t="shared" si="31"/>
        <v>25.578981914381949</v>
      </c>
      <c r="BF45" s="32">
        <f t="shared" si="32"/>
        <v>25.865345390412045</v>
      </c>
      <c r="BG45" s="32">
        <f t="shared" si="33"/>
        <v>25.636254609587965</v>
      </c>
      <c r="BH45" s="32">
        <f t="shared" si="34"/>
        <v>25.808072695206025</v>
      </c>
      <c r="BI45" s="32">
        <f t="shared" si="35"/>
        <v>25.693527304793985</v>
      </c>
      <c r="BJ45" s="33">
        <f t="shared" si="48"/>
        <v>8.0000000000001847E-2</v>
      </c>
      <c r="BK45" s="34">
        <f t="shared" si="49"/>
        <v>3.6565656565656614E-2</v>
      </c>
      <c r="BL45" s="34">
        <f t="shared" si="50"/>
        <v>0</v>
      </c>
      <c r="BM45" s="34">
        <f t="shared" si="51"/>
        <v>0.11951850505050521</v>
      </c>
      <c r="BQ45" s="22">
        <v>38</v>
      </c>
      <c r="BR45" s="121" t="str">
        <f>IF(ISBLANK(Datos!B40),"",(ABS(Datos!B39-Datos!B40)))</f>
        <v/>
      </c>
      <c r="BS45" s="121" t="str">
        <f>IF(ISBLANK(Datos!C40),"",(ABS(Datos!C39-Datos!C40)))</f>
        <v/>
      </c>
      <c r="BT45" s="121" t="str">
        <f>IF(ISBLANK(Datos!D40),"",(ABS(Datos!D39-Datos!D40)))</f>
        <v/>
      </c>
      <c r="BU45" s="21" t="str">
        <f>IF(ISBLANK(Datos!E40),"",(ABS(Datos!E39-Datos!E40)))</f>
        <v/>
      </c>
    </row>
    <row r="46" spans="1:73" x14ac:dyDescent="0.3">
      <c r="A46" s="16">
        <v>39</v>
      </c>
      <c r="B46" s="35"/>
      <c r="C46" s="32" t="e">
        <f t="shared" si="4"/>
        <v>#DIV/0!</v>
      </c>
      <c r="D46" s="32" t="e">
        <f t="shared" si="5"/>
        <v>#DIV/0!</v>
      </c>
      <c r="E46" s="32" t="e">
        <f t="shared" si="6"/>
        <v>#DIV/0!</v>
      </c>
      <c r="F46" s="32" t="e">
        <f t="shared" si="7"/>
        <v>#DIV/0!</v>
      </c>
      <c r="G46" s="32" t="e">
        <f t="shared" si="8"/>
        <v>#DIV/0!</v>
      </c>
      <c r="H46" s="32" t="e">
        <f t="shared" si="9"/>
        <v>#DIV/0!</v>
      </c>
      <c r="I46" s="32" t="e">
        <f t="shared" si="10"/>
        <v>#DIV/0!</v>
      </c>
      <c r="J46" s="32" t="e">
        <f t="shared" si="11"/>
        <v>#DIV/0!</v>
      </c>
      <c r="K46" s="33">
        <f t="shared" si="52"/>
        <v>0</v>
      </c>
      <c r="L46" s="34">
        <f t="shared" si="37"/>
        <v>0</v>
      </c>
      <c r="M46" s="33">
        <f t="shared" si="38"/>
        <v>0</v>
      </c>
      <c r="N46" s="34">
        <f t="shared" si="39"/>
        <v>0</v>
      </c>
      <c r="R46" s="16">
        <v>39</v>
      </c>
      <c r="S46" s="35">
        <v>6.4</v>
      </c>
      <c r="T46" s="32">
        <f t="shared" si="12"/>
        <v>6.3964700000000017</v>
      </c>
      <c r="U46" s="32">
        <f t="shared" si="13"/>
        <v>4.3797618818166538E-2</v>
      </c>
      <c r="V46" s="32">
        <f t="shared" si="14"/>
        <v>6.5278628564545009</v>
      </c>
      <c r="W46" s="32">
        <f t="shared" si="15"/>
        <v>6.2650771435455024</v>
      </c>
      <c r="X46" s="32">
        <f t="shared" si="16"/>
        <v>6.4840652376363348</v>
      </c>
      <c r="Y46" s="32">
        <f t="shared" si="17"/>
        <v>6.3088747623636685</v>
      </c>
      <c r="Z46" s="32">
        <f t="shared" si="18"/>
        <v>6.4402676188181678</v>
      </c>
      <c r="AA46" s="32">
        <f t="shared" si="19"/>
        <v>6.3526723811818355</v>
      </c>
      <c r="AB46" s="33">
        <f t="shared" si="40"/>
        <v>9.9999999999997868E-3</v>
      </c>
      <c r="AC46" s="34">
        <f t="shared" si="41"/>
        <v>4.2444444444444479E-2</v>
      </c>
      <c r="AD46" s="33">
        <f t="shared" si="42"/>
        <v>0</v>
      </c>
      <c r="AE46" s="34">
        <f t="shared" si="43"/>
        <v>0.13873391111111122</v>
      </c>
      <c r="AI46" s="16">
        <v>39</v>
      </c>
      <c r="AJ46" s="85">
        <v>25.86</v>
      </c>
      <c r="AK46" s="32">
        <f t="shared" si="20"/>
        <v>25.808199999999989</v>
      </c>
      <c r="AL46" s="32">
        <f t="shared" si="21"/>
        <v>7.4500084739969288E-2</v>
      </c>
      <c r="AM46" s="32">
        <f t="shared" si="22"/>
        <v>26.031700254219896</v>
      </c>
      <c r="AN46" s="32">
        <f t="shared" si="23"/>
        <v>25.584699745780082</v>
      </c>
      <c r="AO46" s="32">
        <f t="shared" si="24"/>
        <v>25.957200169479929</v>
      </c>
      <c r="AP46" s="32">
        <f t="shared" si="25"/>
        <v>25.659199830520048</v>
      </c>
      <c r="AQ46" s="32">
        <f t="shared" si="26"/>
        <v>25.882700084739959</v>
      </c>
      <c r="AR46" s="32">
        <f t="shared" si="27"/>
        <v>25.733699915260019</v>
      </c>
      <c r="AS46" s="33">
        <f t="shared" si="44"/>
        <v>3.9999999999999147E-2</v>
      </c>
      <c r="AT46" s="34">
        <f t="shared" si="45"/>
        <v>6.6666666666666249E-2</v>
      </c>
      <c r="AU46" s="34">
        <f t="shared" si="46"/>
        <v>0</v>
      </c>
      <c r="AV46" s="34">
        <f t="shared" si="47"/>
        <v>0.21790666666666531</v>
      </c>
      <c r="AZ46" s="16">
        <v>39</v>
      </c>
      <c r="BA46" s="35">
        <v>25.73</v>
      </c>
      <c r="BB46" s="32">
        <f t="shared" si="28"/>
        <v>25.750800000000005</v>
      </c>
      <c r="BC46" s="32">
        <f t="shared" si="29"/>
        <v>5.7272695206019339E-2</v>
      </c>
      <c r="BD46" s="32">
        <f t="shared" si="30"/>
        <v>25.922618085618062</v>
      </c>
      <c r="BE46" s="32">
        <f t="shared" si="31"/>
        <v>25.578981914381949</v>
      </c>
      <c r="BF46" s="32">
        <f t="shared" si="32"/>
        <v>25.865345390412045</v>
      </c>
      <c r="BG46" s="32">
        <f t="shared" si="33"/>
        <v>25.636254609587965</v>
      </c>
      <c r="BH46" s="32">
        <f t="shared" si="34"/>
        <v>25.808072695206025</v>
      </c>
      <c r="BI46" s="32">
        <f t="shared" si="35"/>
        <v>25.693527304793985</v>
      </c>
      <c r="BJ46" s="33">
        <f t="shared" si="48"/>
        <v>1.0000000000001563E-2</v>
      </c>
      <c r="BK46" s="34">
        <f t="shared" si="49"/>
        <v>3.6565656565656614E-2</v>
      </c>
      <c r="BL46" s="34">
        <f t="shared" si="50"/>
        <v>0</v>
      </c>
      <c r="BM46" s="34">
        <f t="shared" si="51"/>
        <v>0.11951850505050521</v>
      </c>
      <c r="BQ46" s="22">
        <v>39</v>
      </c>
      <c r="BR46" s="121" t="str">
        <f>IF(ISBLANK(Datos!B41),"",(ABS(Datos!B40-Datos!B41)))</f>
        <v/>
      </c>
      <c r="BS46" s="121" t="str">
        <f>IF(ISBLANK(Datos!C41),"",(ABS(Datos!C40-Datos!C41)))</f>
        <v/>
      </c>
      <c r="BT46" s="121" t="str">
        <f>IF(ISBLANK(Datos!D41),"",(ABS(Datos!D40-Datos!D41)))</f>
        <v/>
      </c>
      <c r="BU46" s="21" t="str">
        <f>IF(ISBLANK(Datos!E41),"",(ABS(Datos!E40-Datos!E41)))</f>
        <v/>
      </c>
    </row>
    <row r="47" spans="1:73" x14ac:dyDescent="0.3">
      <c r="A47" s="16">
        <v>40</v>
      </c>
      <c r="B47" s="35"/>
      <c r="C47" s="32" t="e">
        <f t="shared" si="4"/>
        <v>#DIV/0!</v>
      </c>
      <c r="D47" s="32" t="e">
        <f t="shared" si="5"/>
        <v>#DIV/0!</v>
      </c>
      <c r="E47" s="32" t="e">
        <f t="shared" si="6"/>
        <v>#DIV/0!</v>
      </c>
      <c r="F47" s="32" t="e">
        <f t="shared" si="7"/>
        <v>#DIV/0!</v>
      </c>
      <c r="G47" s="32" t="e">
        <f t="shared" si="8"/>
        <v>#DIV/0!</v>
      </c>
      <c r="H47" s="32" t="e">
        <f t="shared" si="9"/>
        <v>#DIV/0!</v>
      </c>
      <c r="I47" s="32" t="e">
        <f t="shared" si="10"/>
        <v>#DIV/0!</v>
      </c>
      <c r="J47" s="32" t="e">
        <f t="shared" si="11"/>
        <v>#DIV/0!</v>
      </c>
      <c r="K47" s="33">
        <f t="shared" si="52"/>
        <v>0</v>
      </c>
      <c r="L47" s="34">
        <f t="shared" si="37"/>
        <v>0</v>
      </c>
      <c r="M47" s="33">
        <f t="shared" si="38"/>
        <v>0</v>
      </c>
      <c r="N47" s="34">
        <f t="shared" si="39"/>
        <v>0</v>
      </c>
      <c r="R47" s="16">
        <v>40</v>
      </c>
      <c r="S47" s="35">
        <v>6.45</v>
      </c>
      <c r="T47" s="32">
        <f t="shared" si="12"/>
        <v>6.3964700000000017</v>
      </c>
      <c r="U47" s="32">
        <f t="shared" si="13"/>
        <v>4.3797618818166538E-2</v>
      </c>
      <c r="V47" s="32">
        <f t="shared" si="14"/>
        <v>6.5278628564545009</v>
      </c>
      <c r="W47" s="32">
        <f t="shared" si="15"/>
        <v>6.2650771435455024</v>
      </c>
      <c r="X47" s="32">
        <f t="shared" si="16"/>
        <v>6.4840652376363348</v>
      </c>
      <c r="Y47" s="32">
        <f t="shared" si="17"/>
        <v>6.3088747623636685</v>
      </c>
      <c r="Z47" s="32">
        <f t="shared" si="18"/>
        <v>6.4402676188181678</v>
      </c>
      <c r="AA47" s="32">
        <f t="shared" si="19"/>
        <v>6.3526723811818355</v>
      </c>
      <c r="AB47" s="33">
        <f t="shared" si="40"/>
        <v>4.9999999999999822E-2</v>
      </c>
      <c r="AC47" s="34">
        <f t="shared" si="41"/>
        <v>4.2444444444444479E-2</v>
      </c>
      <c r="AD47" s="33">
        <f t="shared" si="42"/>
        <v>0</v>
      </c>
      <c r="AE47" s="34">
        <f t="shared" si="43"/>
        <v>0.13873391111111122</v>
      </c>
      <c r="AI47" s="16">
        <v>40</v>
      </c>
      <c r="AJ47" s="84">
        <v>25.89</v>
      </c>
      <c r="AK47" s="32">
        <f t="shared" si="20"/>
        <v>25.808199999999989</v>
      </c>
      <c r="AL47" s="32">
        <f t="shared" si="21"/>
        <v>7.4500084739969288E-2</v>
      </c>
      <c r="AM47" s="32">
        <f t="shared" si="22"/>
        <v>26.031700254219896</v>
      </c>
      <c r="AN47" s="32">
        <f t="shared" si="23"/>
        <v>25.584699745780082</v>
      </c>
      <c r="AO47" s="32">
        <f t="shared" si="24"/>
        <v>25.957200169479929</v>
      </c>
      <c r="AP47" s="32">
        <f t="shared" si="25"/>
        <v>25.659199830520048</v>
      </c>
      <c r="AQ47" s="32">
        <f t="shared" si="26"/>
        <v>25.882700084739959</v>
      </c>
      <c r="AR47" s="32">
        <f t="shared" si="27"/>
        <v>25.733699915260019</v>
      </c>
      <c r="AS47" s="33">
        <f t="shared" si="44"/>
        <v>3.0000000000001137E-2</v>
      </c>
      <c r="AT47" s="34">
        <f t="shared" si="45"/>
        <v>6.6666666666666249E-2</v>
      </c>
      <c r="AU47" s="34">
        <f t="shared" si="46"/>
        <v>0</v>
      </c>
      <c r="AV47" s="34">
        <f t="shared" si="47"/>
        <v>0.21790666666666531</v>
      </c>
      <c r="AZ47" s="16">
        <v>40</v>
      </c>
      <c r="BA47" s="35">
        <v>25.8</v>
      </c>
      <c r="BB47" s="32">
        <f t="shared" si="28"/>
        <v>25.750800000000005</v>
      </c>
      <c r="BC47" s="32">
        <f t="shared" si="29"/>
        <v>5.7272695206019339E-2</v>
      </c>
      <c r="BD47" s="32">
        <f t="shared" si="30"/>
        <v>25.922618085618062</v>
      </c>
      <c r="BE47" s="32">
        <f t="shared" si="31"/>
        <v>25.578981914381949</v>
      </c>
      <c r="BF47" s="32">
        <f t="shared" si="32"/>
        <v>25.865345390412045</v>
      </c>
      <c r="BG47" s="32">
        <f t="shared" si="33"/>
        <v>25.636254609587965</v>
      </c>
      <c r="BH47" s="32">
        <f t="shared" si="34"/>
        <v>25.808072695206025</v>
      </c>
      <c r="BI47" s="32">
        <f t="shared" si="35"/>
        <v>25.693527304793985</v>
      </c>
      <c r="BJ47" s="33">
        <f t="shared" si="48"/>
        <v>7.0000000000000284E-2</v>
      </c>
      <c r="BK47" s="34">
        <f t="shared" si="49"/>
        <v>3.6565656565656614E-2</v>
      </c>
      <c r="BL47" s="34">
        <f t="shared" si="50"/>
        <v>0</v>
      </c>
      <c r="BM47" s="34">
        <f t="shared" si="51"/>
        <v>0.11951850505050521</v>
      </c>
      <c r="BQ47" s="22">
        <v>40</v>
      </c>
      <c r="BR47" s="121" t="str">
        <f>IF(ISBLANK(Datos!B42),"",(ABS(Datos!B41-Datos!B42)))</f>
        <v/>
      </c>
      <c r="BS47" s="121" t="str">
        <f>IF(ISBLANK(Datos!C42),"",(ABS(Datos!C41-Datos!C42)))</f>
        <v/>
      </c>
      <c r="BT47" s="121" t="str">
        <f>IF(ISBLANK(Datos!D42),"",(ABS(Datos!D41-Datos!D42)))</f>
        <v/>
      </c>
      <c r="BU47" s="21" t="str">
        <f>IF(ISBLANK(Datos!E42),"",(ABS(Datos!E41-Datos!E42)))</f>
        <v/>
      </c>
    </row>
    <row r="48" spans="1:73" x14ac:dyDescent="0.3">
      <c r="A48" s="16">
        <v>41</v>
      </c>
      <c r="B48" s="35"/>
      <c r="C48" s="32" t="e">
        <f t="shared" si="4"/>
        <v>#DIV/0!</v>
      </c>
      <c r="D48" s="32" t="e">
        <f t="shared" si="5"/>
        <v>#DIV/0!</v>
      </c>
      <c r="E48" s="32" t="e">
        <f t="shared" si="6"/>
        <v>#DIV/0!</v>
      </c>
      <c r="F48" s="32" t="e">
        <f t="shared" si="7"/>
        <v>#DIV/0!</v>
      </c>
      <c r="G48" s="32" t="e">
        <f t="shared" si="8"/>
        <v>#DIV/0!</v>
      </c>
      <c r="H48" s="32" t="e">
        <f t="shared" si="9"/>
        <v>#DIV/0!</v>
      </c>
      <c r="I48" s="32" t="e">
        <f t="shared" si="10"/>
        <v>#DIV/0!</v>
      </c>
      <c r="J48" s="32" t="e">
        <f t="shared" si="11"/>
        <v>#DIV/0!</v>
      </c>
      <c r="K48" s="33">
        <f t="shared" si="52"/>
        <v>0</v>
      </c>
      <c r="L48" s="34">
        <f t="shared" si="37"/>
        <v>0</v>
      </c>
      <c r="M48" s="33">
        <f t="shared" si="38"/>
        <v>0</v>
      </c>
      <c r="N48" s="34">
        <f t="shared" si="39"/>
        <v>0</v>
      </c>
      <c r="R48" s="16">
        <v>41</v>
      </c>
      <c r="S48" s="35">
        <v>6.33</v>
      </c>
      <c r="T48" s="32">
        <f t="shared" si="12"/>
        <v>6.3964700000000017</v>
      </c>
      <c r="U48" s="32">
        <f t="shared" si="13"/>
        <v>4.3797618818166538E-2</v>
      </c>
      <c r="V48" s="32">
        <f t="shared" si="14"/>
        <v>6.5278628564545009</v>
      </c>
      <c r="W48" s="32">
        <f t="shared" si="15"/>
        <v>6.2650771435455024</v>
      </c>
      <c r="X48" s="32">
        <f t="shared" si="16"/>
        <v>6.4840652376363348</v>
      </c>
      <c r="Y48" s="32">
        <f t="shared" si="17"/>
        <v>6.3088747623636685</v>
      </c>
      <c r="Z48" s="32">
        <f t="shared" si="18"/>
        <v>6.4402676188181678</v>
      </c>
      <c r="AA48" s="32">
        <f t="shared" si="19"/>
        <v>6.3526723811818355</v>
      </c>
      <c r="AB48" s="33">
        <f t="shared" si="40"/>
        <v>0.12000000000000011</v>
      </c>
      <c r="AC48" s="34">
        <f t="shared" si="41"/>
        <v>4.2444444444444479E-2</v>
      </c>
      <c r="AD48" s="33">
        <f t="shared" si="42"/>
        <v>0</v>
      </c>
      <c r="AE48" s="34">
        <f t="shared" si="43"/>
        <v>0.13873391111111122</v>
      </c>
      <c r="AI48" s="16">
        <v>41</v>
      </c>
      <c r="AJ48" s="84">
        <v>25.8</v>
      </c>
      <c r="AK48" s="32">
        <f t="shared" si="20"/>
        <v>25.808199999999989</v>
      </c>
      <c r="AL48" s="32">
        <f t="shared" si="21"/>
        <v>7.4500084739969288E-2</v>
      </c>
      <c r="AM48" s="32">
        <f t="shared" si="22"/>
        <v>26.031700254219896</v>
      </c>
      <c r="AN48" s="32">
        <f t="shared" si="23"/>
        <v>25.584699745780082</v>
      </c>
      <c r="AO48" s="32">
        <f t="shared" si="24"/>
        <v>25.957200169479929</v>
      </c>
      <c r="AP48" s="32">
        <f t="shared" si="25"/>
        <v>25.659199830520048</v>
      </c>
      <c r="AQ48" s="32">
        <f t="shared" si="26"/>
        <v>25.882700084739959</v>
      </c>
      <c r="AR48" s="32">
        <f t="shared" si="27"/>
        <v>25.733699915260019</v>
      </c>
      <c r="AS48" s="33">
        <f t="shared" si="44"/>
        <v>8.9999999999999858E-2</v>
      </c>
      <c r="AT48" s="34">
        <f t="shared" si="45"/>
        <v>6.6666666666666249E-2</v>
      </c>
      <c r="AU48" s="34">
        <f t="shared" si="46"/>
        <v>0</v>
      </c>
      <c r="AV48" s="34">
        <f t="shared" si="47"/>
        <v>0.21790666666666531</v>
      </c>
      <c r="AZ48" s="16">
        <v>41</v>
      </c>
      <c r="BA48" s="35">
        <v>25.72</v>
      </c>
      <c r="BB48" s="32">
        <f t="shared" si="28"/>
        <v>25.750800000000005</v>
      </c>
      <c r="BC48" s="32">
        <f t="shared" si="29"/>
        <v>5.7272695206019339E-2</v>
      </c>
      <c r="BD48" s="32">
        <f t="shared" si="30"/>
        <v>25.922618085618062</v>
      </c>
      <c r="BE48" s="32">
        <f t="shared" si="31"/>
        <v>25.578981914381949</v>
      </c>
      <c r="BF48" s="32">
        <f t="shared" si="32"/>
        <v>25.865345390412045</v>
      </c>
      <c r="BG48" s="32">
        <f t="shared" si="33"/>
        <v>25.636254609587965</v>
      </c>
      <c r="BH48" s="32">
        <f t="shared" si="34"/>
        <v>25.808072695206025</v>
      </c>
      <c r="BI48" s="32">
        <f t="shared" si="35"/>
        <v>25.693527304793985</v>
      </c>
      <c r="BJ48" s="33">
        <f t="shared" si="48"/>
        <v>8.0000000000001847E-2</v>
      </c>
      <c r="BK48" s="34">
        <f t="shared" si="49"/>
        <v>3.6565656565656614E-2</v>
      </c>
      <c r="BL48" s="34">
        <f t="shared" si="50"/>
        <v>0</v>
      </c>
      <c r="BM48" s="34">
        <f t="shared" si="51"/>
        <v>0.11951850505050521</v>
      </c>
      <c r="BQ48" s="22">
        <v>41</v>
      </c>
      <c r="BR48" s="121" t="str">
        <f>IF(ISBLANK(Datos!B43),"",(ABS(Datos!B42-Datos!B43)))</f>
        <v/>
      </c>
      <c r="BS48" s="121" t="str">
        <f>IF(ISBLANK(Datos!C43),"",(ABS(Datos!C42-Datos!C43)))</f>
        <v/>
      </c>
      <c r="BT48" s="121" t="str">
        <f>IF(ISBLANK(Datos!D43),"",(ABS(Datos!D42-Datos!D43)))</f>
        <v/>
      </c>
      <c r="BU48" s="21" t="str">
        <f>IF(ISBLANK(Datos!E43),"",(ABS(Datos!E42-Datos!E43)))</f>
        <v/>
      </c>
    </row>
    <row r="49" spans="1:73" x14ac:dyDescent="0.3">
      <c r="A49" s="16">
        <v>42</v>
      </c>
      <c r="B49" s="35"/>
      <c r="C49" s="32" t="e">
        <f t="shared" si="4"/>
        <v>#DIV/0!</v>
      </c>
      <c r="D49" s="32" t="e">
        <f t="shared" si="5"/>
        <v>#DIV/0!</v>
      </c>
      <c r="E49" s="32" t="e">
        <f t="shared" si="6"/>
        <v>#DIV/0!</v>
      </c>
      <c r="F49" s="32" t="e">
        <f t="shared" si="7"/>
        <v>#DIV/0!</v>
      </c>
      <c r="G49" s="32" t="e">
        <f t="shared" si="8"/>
        <v>#DIV/0!</v>
      </c>
      <c r="H49" s="32" t="e">
        <f t="shared" si="9"/>
        <v>#DIV/0!</v>
      </c>
      <c r="I49" s="32" t="e">
        <f t="shared" si="10"/>
        <v>#DIV/0!</v>
      </c>
      <c r="J49" s="32" t="e">
        <f t="shared" si="11"/>
        <v>#DIV/0!</v>
      </c>
      <c r="K49" s="33">
        <f t="shared" si="52"/>
        <v>0</v>
      </c>
      <c r="L49" s="34">
        <f t="shared" si="37"/>
        <v>0</v>
      </c>
      <c r="M49" s="33">
        <f t="shared" si="38"/>
        <v>0</v>
      </c>
      <c r="N49" s="34">
        <f t="shared" si="39"/>
        <v>0</v>
      </c>
      <c r="R49" s="16">
        <v>42</v>
      </c>
      <c r="S49" s="35">
        <v>6.36</v>
      </c>
      <c r="T49" s="32">
        <f t="shared" si="12"/>
        <v>6.3964700000000017</v>
      </c>
      <c r="U49" s="32">
        <f t="shared" si="13"/>
        <v>4.3797618818166538E-2</v>
      </c>
      <c r="V49" s="32">
        <f t="shared" si="14"/>
        <v>6.5278628564545009</v>
      </c>
      <c r="W49" s="32">
        <f t="shared" si="15"/>
        <v>6.2650771435455024</v>
      </c>
      <c r="X49" s="32">
        <f t="shared" si="16"/>
        <v>6.4840652376363348</v>
      </c>
      <c r="Y49" s="32">
        <f t="shared" si="17"/>
        <v>6.3088747623636685</v>
      </c>
      <c r="Z49" s="32">
        <f t="shared" si="18"/>
        <v>6.4402676188181678</v>
      </c>
      <c r="AA49" s="32">
        <f t="shared" si="19"/>
        <v>6.3526723811818355</v>
      </c>
      <c r="AB49" s="33">
        <f t="shared" si="40"/>
        <v>3.0000000000000249E-2</v>
      </c>
      <c r="AC49" s="34">
        <f t="shared" si="41"/>
        <v>4.2444444444444479E-2</v>
      </c>
      <c r="AD49" s="33">
        <f t="shared" si="42"/>
        <v>0</v>
      </c>
      <c r="AE49" s="34">
        <f t="shared" si="43"/>
        <v>0.13873391111111122</v>
      </c>
      <c r="AI49" s="16">
        <v>42</v>
      </c>
      <c r="AJ49" s="84">
        <v>25.88</v>
      </c>
      <c r="AK49" s="32">
        <f t="shared" si="20"/>
        <v>25.808199999999989</v>
      </c>
      <c r="AL49" s="32">
        <f t="shared" si="21"/>
        <v>7.4500084739969288E-2</v>
      </c>
      <c r="AM49" s="32">
        <f t="shared" si="22"/>
        <v>26.031700254219896</v>
      </c>
      <c r="AN49" s="32">
        <f t="shared" si="23"/>
        <v>25.584699745780082</v>
      </c>
      <c r="AO49" s="32">
        <f t="shared" si="24"/>
        <v>25.957200169479929</v>
      </c>
      <c r="AP49" s="32">
        <f t="shared" si="25"/>
        <v>25.659199830520048</v>
      </c>
      <c r="AQ49" s="32">
        <f t="shared" si="26"/>
        <v>25.882700084739959</v>
      </c>
      <c r="AR49" s="32">
        <f t="shared" si="27"/>
        <v>25.733699915260019</v>
      </c>
      <c r="AS49" s="33">
        <f t="shared" si="44"/>
        <v>7.9999999999998295E-2</v>
      </c>
      <c r="AT49" s="34">
        <f t="shared" si="45"/>
        <v>6.6666666666666249E-2</v>
      </c>
      <c r="AU49" s="34">
        <f t="shared" si="46"/>
        <v>0</v>
      </c>
      <c r="AV49" s="34">
        <f t="shared" si="47"/>
        <v>0.21790666666666531</v>
      </c>
      <c r="AZ49" s="16">
        <v>42</v>
      </c>
      <c r="BA49" s="35">
        <v>25.78</v>
      </c>
      <c r="BB49" s="32">
        <f t="shared" si="28"/>
        <v>25.750800000000005</v>
      </c>
      <c r="BC49" s="32">
        <f t="shared" si="29"/>
        <v>5.7272695206019339E-2</v>
      </c>
      <c r="BD49" s="32">
        <f t="shared" si="30"/>
        <v>25.922618085618062</v>
      </c>
      <c r="BE49" s="32">
        <f t="shared" si="31"/>
        <v>25.578981914381949</v>
      </c>
      <c r="BF49" s="32">
        <f t="shared" si="32"/>
        <v>25.865345390412045</v>
      </c>
      <c r="BG49" s="32">
        <f t="shared" si="33"/>
        <v>25.636254609587965</v>
      </c>
      <c r="BH49" s="32">
        <f t="shared" si="34"/>
        <v>25.808072695206025</v>
      </c>
      <c r="BI49" s="32">
        <f t="shared" si="35"/>
        <v>25.693527304793985</v>
      </c>
      <c r="BJ49" s="33">
        <f t="shared" si="48"/>
        <v>6.0000000000002274E-2</v>
      </c>
      <c r="BK49" s="34">
        <f t="shared" si="49"/>
        <v>3.6565656565656614E-2</v>
      </c>
      <c r="BL49" s="34">
        <f t="shared" si="50"/>
        <v>0</v>
      </c>
      <c r="BM49" s="34">
        <f t="shared" si="51"/>
        <v>0.11951850505050521</v>
      </c>
      <c r="BQ49" s="22">
        <v>42</v>
      </c>
      <c r="BR49" s="121" t="str">
        <f>IF(ISBLANK(Datos!B44),"",(ABS(Datos!B43-Datos!B44)))</f>
        <v/>
      </c>
      <c r="BS49" s="121" t="str">
        <f>IF(ISBLANK(Datos!C44),"",(ABS(Datos!C43-Datos!C44)))</f>
        <v/>
      </c>
      <c r="BT49" s="121" t="str">
        <f>IF(ISBLANK(Datos!D44),"",(ABS(Datos!D43-Datos!D44)))</f>
        <v/>
      </c>
      <c r="BU49" s="21" t="str">
        <f>IF(ISBLANK(Datos!E44),"",(ABS(Datos!E43-Datos!E44)))</f>
        <v/>
      </c>
    </row>
    <row r="50" spans="1:73" x14ac:dyDescent="0.3">
      <c r="A50" s="16">
        <v>43</v>
      </c>
      <c r="B50" s="35"/>
      <c r="C50" s="32" t="e">
        <f t="shared" si="4"/>
        <v>#DIV/0!</v>
      </c>
      <c r="D50" s="32" t="e">
        <f t="shared" si="5"/>
        <v>#DIV/0!</v>
      </c>
      <c r="E50" s="32" t="e">
        <f t="shared" si="6"/>
        <v>#DIV/0!</v>
      </c>
      <c r="F50" s="32" t="e">
        <f t="shared" si="7"/>
        <v>#DIV/0!</v>
      </c>
      <c r="G50" s="32" t="e">
        <f t="shared" si="8"/>
        <v>#DIV/0!</v>
      </c>
      <c r="H50" s="32" t="e">
        <f t="shared" si="9"/>
        <v>#DIV/0!</v>
      </c>
      <c r="I50" s="32" t="e">
        <f t="shared" si="10"/>
        <v>#DIV/0!</v>
      </c>
      <c r="J50" s="32" t="e">
        <f t="shared" si="11"/>
        <v>#DIV/0!</v>
      </c>
      <c r="K50" s="33">
        <f t="shared" si="52"/>
        <v>0</v>
      </c>
      <c r="L50" s="34">
        <f t="shared" si="37"/>
        <v>0</v>
      </c>
      <c r="M50" s="33">
        <f t="shared" si="38"/>
        <v>0</v>
      </c>
      <c r="N50" s="34">
        <f t="shared" si="39"/>
        <v>0</v>
      </c>
      <c r="R50" s="16">
        <v>43</v>
      </c>
      <c r="S50" s="35">
        <v>6.35</v>
      </c>
      <c r="T50" s="32">
        <f t="shared" si="12"/>
        <v>6.3964700000000017</v>
      </c>
      <c r="U50" s="32">
        <f t="shared" si="13"/>
        <v>4.3797618818166538E-2</v>
      </c>
      <c r="V50" s="32">
        <f t="shared" si="14"/>
        <v>6.5278628564545009</v>
      </c>
      <c r="W50" s="32">
        <f t="shared" si="15"/>
        <v>6.2650771435455024</v>
      </c>
      <c r="X50" s="32">
        <f t="shared" si="16"/>
        <v>6.4840652376363348</v>
      </c>
      <c r="Y50" s="32">
        <f t="shared" si="17"/>
        <v>6.3088747623636685</v>
      </c>
      <c r="Z50" s="32">
        <f t="shared" si="18"/>
        <v>6.4402676188181678</v>
      </c>
      <c r="AA50" s="32">
        <f t="shared" si="19"/>
        <v>6.3526723811818355</v>
      </c>
      <c r="AB50" s="33">
        <f t="shared" si="40"/>
        <v>1.0000000000000675E-2</v>
      </c>
      <c r="AC50" s="34">
        <f t="shared" si="41"/>
        <v>4.2444444444444479E-2</v>
      </c>
      <c r="AD50" s="33">
        <f t="shared" si="42"/>
        <v>0</v>
      </c>
      <c r="AE50" s="34">
        <f t="shared" si="43"/>
        <v>0.13873391111111122</v>
      </c>
      <c r="AI50" s="16">
        <v>43</v>
      </c>
      <c r="AJ50" s="84">
        <v>25.81</v>
      </c>
      <c r="AK50" s="32">
        <f t="shared" si="20"/>
        <v>25.808199999999989</v>
      </c>
      <c r="AL50" s="32">
        <f t="shared" si="21"/>
        <v>7.4500084739969288E-2</v>
      </c>
      <c r="AM50" s="32">
        <f t="shared" si="22"/>
        <v>26.031700254219896</v>
      </c>
      <c r="AN50" s="32">
        <f t="shared" si="23"/>
        <v>25.584699745780082</v>
      </c>
      <c r="AO50" s="32">
        <f t="shared" si="24"/>
        <v>25.957200169479929</v>
      </c>
      <c r="AP50" s="32">
        <f t="shared" si="25"/>
        <v>25.659199830520048</v>
      </c>
      <c r="AQ50" s="32">
        <f t="shared" si="26"/>
        <v>25.882700084739959</v>
      </c>
      <c r="AR50" s="32">
        <f t="shared" si="27"/>
        <v>25.733699915260019</v>
      </c>
      <c r="AS50" s="33">
        <f t="shared" si="44"/>
        <v>7.0000000000000284E-2</v>
      </c>
      <c r="AT50" s="34">
        <f t="shared" si="45"/>
        <v>6.6666666666666249E-2</v>
      </c>
      <c r="AU50" s="34">
        <f t="shared" si="46"/>
        <v>0</v>
      </c>
      <c r="AV50" s="34">
        <f t="shared" si="47"/>
        <v>0.21790666666666531</v>
      </c>
      <c r="AZ50" s="16">
        <v>43</v>
      </c>
      <c r="BA50" s="35">
        <v>25.73</v>
      </c>
      <c r="BB50" s="32">
        <f t="shared" si="28"/>
        <v>25.750800000000005</v>
      </c>
      <c r="BC50" s="32">
        <f t="shared" si="29"/>
        <v>5.7272695206019339E-2</v>
      </c>
      <c r="BD50" s="32">
        <f t="shared" si="30"/>
        <v>25.922618085618062</v>
      </c>
      <c r="BE50" s="32">
        <f t="shared" si="31"/>
        <v>25.578981914381949</v>
      </c>
      <c r="BF50" s="32">
        <f t="shared" si="32"/>
        <v>25.865345390412045</v>
      </c>
      <c r="BG50" s="32">
        <f t="shared" si="33"/>
        <v>25.636254609587965</v>
      </c>
      <c r="BH50" s="32">
        <f t="shared" si="34"/>
        <v>25.808072695206025</v>
      </c>
      <c r="BI50" s="32">
        <f t="shared" si="35"/>
        <v>25.693527304793985</v>
      </c>
      <c r="BJ50" s="33">
        <f t="shared" si="48"/>
        <v>5.0000000000000711E-2</v>
      </c>
      <c r="BK50" s="34">
        <f t="shared" si="49"/>
        <v>3.6565656565656614E-2</v>
      </c>
      <c r="BL50" s="34">
        <f t="shared" si="50"/>
        <v>0</v>
      </c>
      <c r="BM50" s="34">
        <f t="shared" si="51"/>
        <v>0.11951850505050521</v>
      </c>
      <c r="BQ50" s="22">
        <v>43</v>
      </c>
      <c r="BR50" s="121" t="str">
        <f>IF(ISBLANK(Datos!B45),"",(ABS(Datos!B44-Datos!B45)))</f>
        <v/>
      </c>
      <c r="BS50" s="121" t="str">
        <f>IF(ISBLANK(Datos!C45),"",(ABS(Datos!C44-Datos!C45)))</f>
        <v/>
      </c>
      <c r="BT50" s="121" t="str">
        <f>IF(ISBLANK(Datos!D45),"",(ABS(Datos!D44-Datos!D45)))</f>
        <v/>
      </c>
      <c r="BU50" s="21" t="str">
        <f>IF(ISBLANK(Datos!E45),"",(ABS(Datos!E44-Datos!E45)))</f>
        <v/>
      </c>
    </row>
    <row r="51" spans="1:73" x14ac:dyDescent="0.3">
      <c r="A51" s="16">
        <v>44</v>
      </c>
      <c r="B51" s="35"/>
      <c r="C51" s="32" t="e">
        <f t="shared" si="4"/>
        <v>#DIV/0!</v>
      </c>
      <c r="D51" s="32" t="e">
        <f t="shared" si="5"/>
        <v>#DIV/0!</v>
      </c>
      <c r="E51" s="32" t="e">
        <f t="shared" si="6"/>
        <v>#DIV/0!</v>
      </c>
      <c r="F51" s="32" t="e">
        <f t="shared" si="7"/>
        <v>#DIV/0!</v>
      </c>
      <c r="G51" s="32" t="e">
        <f t="shared" si="8"/>
        <v>#DIV/0!</v>
      </c>
      <c r="H51" s="32" t="e">
        <f t="shared" si="9"/>
        <v>#DIV/0!</v>
      </c>
      <c r="I51" s="32" t="e">
        <f t="shared" si="10"/>
        <v>#DIV/0!</v>
      </c>
      <c r="J51" s="32" t="e">
        <f t="shared" si="11"/>
        <v>#DIV/0!</v>
      </c>
      <c r="K51" s="33">
        <f t="shared" si="52"/>
        <v>0</v>
      </c>
      <c r="L51" s="34">
        <f t="shared" si="37"/>
        <v>0</v>
      </c>
      <c r="M51" s="33">
        <f t="shared" si="38"/>
        <v>0</v>
      </c>
      <c r="N51" s="34">
        <f t="shared" si="39"/>
        <v>0</v>
      </c>
      <c r="R51" s="16">
        <v>44</v>
      </c>
      <c r="S51" s="35">
        <v>6.35</v>
      </c>
      <c r="T51" s="32">
        <f t="shared" si="12"/>
        <v>6.3964700000000017</v>
      </c>
      <c r="U51" s="32">
        <f t="shared" si="13"/>
        <v>4.3797618818166538E-2</v>
      </c>
      <c r="V51" s="32">
        <f t="shared" si="14"/>
        <v>6.5278628564545009</v>
      </c>
      <c r="W51" s="32">
        <f t="shared" si="15"/>
        <v>6.2650771435455024</v>
      </c>
      <c r="X51" s="32">
        <f t="shared" si="16"/>
        <v>6.4840652376363348</v>
      </c>
      <c r="Y51" s="32">
        <f t="shared" si="17"/>
        <v>6.3088747623636685</v>
      </c>
      <c r="Z51" s="32">
        <f t="shared" si="18"/>
        <v>6.4402676188181678</v>
      </c>
      <c r="AA51" s="32">
        <f t="shared" si="19"/>
        <v>6.3526723811818355</v>
      </c>
      <c r="AB51" s="33">
        <f t="shared" si="40"/>
        <v>0</v>
      </c>
      <c r="AC51" s="34">
        <f t="shared" si="41"/>
        <v>4.2444444444444479E-2</v>
      </c>
      <c r="AD51" s="33">
        <f t="shared" si="42"/>
        <v>0</v>
      </c>
      <c r="AE51" s="34">
        <f t="shared" si="43"/>
        <v>0.13873391111111122</v>
      </c>
      <c r="AI51" s="16">
        <v>44</v>
      </c>
      <c r="AJ51" s="84">
        <v>25.86</v>
      </c>
      <c r="AK51" s="32">
        <f t="shared" si="20"/>
        <v>25.808199999999989</v>
      </c>
      <c r="AL51" s="32">
        <f t="shared" si="21"/>
        <v>7.4500084739969288E-2</v>
      </c>
      <c r="AM51" s="32">
        <f t="shared" si="22"/>
        <v>26.031700254219896</v>
      </c>
      <c r="AN51" s="32">
        <f t="shared" si="23"/>
        <v>25.584699745780082</v>
      </c>
      <c r="AO51" s="32">
        <f t="shared" si="24"/>
        <v>25.957200169479929</v>
      </c>
      <c r="AP51" s="32">
        <f t="shared" si="25"/>
        <v>25.659199830520048</v>
      </c>
      <c r="AQ51" s="32">
        <f t="shared" si="26"/>
        <v>25.882700084739959</v>
      </c>
      <c r="AR51" s="32">
        <f t="shared" si="27"/>
        <v>25.733699915260019</v>
      </c>
      <c r="AS51" s="33">
        <f t="shared" si="44"/>
        <v>5.0000000000000711E-2</v>
      </c>
      <c r="AT51" s="34">
        <f t="shared" si="45"/>
        <v>6.6666666666666249E-2</v>
      </c>
      <c r="AU51" s="34">
        <f t="shared" si="46"/>
        <v>0</v>
      </c>
      <c r="AV51" s="34">
        <f t="shared" si="47"/>
        <v>0.21790666666666531</v>
      </c>
      <c r="AZ51" s="16">
        <v>44</v>
      </c>
      <c r="BA51" s="35">
        <v>25.74</v>
      </c>
      <c r="BB51" s="32">
        <f t="shared" si="28"/>
        <v>25.750800000000005</v>
      </c>
      <c r="BC51" s="32">
        <f t="shared" si="29"/>
        <v>5.7272695206019339E-2</v>
      </c>
      <c r="BD51" s="32">
        <f t="shared" si="30"/>
        <v>25.922618085618062</v>
      </c>
      <c r="BE51" s="32">
        <f t="shared" si="31"/>
        <v>25.578981914381949</v>
      </c>
      <c r="BF51" s="32">
        <f t="shared" si="32"/>
        <v>25.865345390412045</v>
      </c>
      <c r="BG51" s="32">
        <f t="shared" si="33"/>
        <v>25.636254609587965</v>
      </c>
      <c r="BH51" s="32">
        <f t="shared" si="34"/>
        <v>25.808072695206025</v>
      </c>
      <c r="BI51" s="32">
        <f t="shared" si="35"/>
        <v>25.693527304793985</v>
      </c>
      <c r="BJ51" s="33">
        <f t="shared" si="48"/>
        <v>9.9999999999980105E-3</v>
      </c>
      <c r="BK51" s="34">
        <f t="shared" si="49"/>
        <v>3.6565656565656614E-2</v>
      </c>
      <c r="BL51" s="34">
        <f t="shared" si="50"/>
        <v>0</v>
      </c>
      <c r="BM51" s="34">
        <f t="shared" si="51"/>
        <v>0.11951850505050521</v>
      </c>
      <c r="BQ51" s="22">
        <v>44</v>
      </c>
      <c r="BR51" s="121" t="str">
        <f>IF(ISBLANK(Datos!B46),"",(ABS(Datos!B45-Datos!B46)))</f>
        <v/>
      </c>
      <c r="BS51" s="121" t="str">
        <f>IF(ISBLANK(Datos!C46),"",(ABS(Datos!C45-Datos!C46)))</f>
        <v/>
      </c>
      <c r="BT51" s="121" t="str">
        <f>IF(ISBLANK(Datos!D46),"",(ABS(Datos!D45-Datos!D46)))</f>
        <v/>
      </c>
      <c r="BU51" s="21" t="str">
        <f>IF(ISBLANK(Datos!E46),"",(ABS(Datos!E45-Datos!E46)))</f>
        <v/>
      </c>
    </row>
    <row r="52" spans="1:73" x14ac:dyDescent="0.3">
      <c r="A52" s="16">
        <v>45</v>
      </c>
      <c r="B52" s="35"/>
      <c r="C52" s="32" t="e">
        <f t="shared" si="4"/>
        <v>#DIV/0!</v>
      </c>
      <c r="D52" s="32" t="e">
        <f t="shared" si="5"/>
        <v>#DIV/0!</v>
      </c>
      <c r="E52" s="32" t="e">
        <f t="shared" si="6"/>
        <v>#DIV/0!</v>
      </c>
      <c r="F52" s="32" t="e">
        <f t="shared" si="7"/>
        <v>#DIV/0!</v>
      </c>
      <c r="G52" s="32" t="e">
        <f t="shared" si="8"/>
        <v>#DIV/0!</v>
      </c>
      <c r="H52" s="32" t="e">
        <f t="shared" si="9"/>
        <v>#DIV/0!</v>
      </c>
      <c r="I52" s="32" t="e">
        <f t="shared" si="10"/>
        <v>#DIV/0!</v>
      </c>
      <c r="J52" s="32" t="e">
        <f t="shared" si="11"/>
        <v>#DIV/0!</v>
      </c>
      <c r="K52" s="33">
        <f t="shared" si="52"/>
        <v>0</v>
      </c>
      <c r="L52" s="34">
        <f t="shared" si="37"/>
        <v>0</v>
      </c>
      <c r="M52" s="33">
        <f t="shared" si="38"/>
        <v>0</v>
      </c>
      <c r="N52" s="34">
        <f t="shared" si="39"/>
        <v>0</v>
      </c>
      <c r="R52" s="16">
        <v>45</v>
      </c>
      <c r="S52" s="35">
        <v>6.41</v>
      </c>
      <c r="T52" s="32">
        <f t="shared" si="12"/>
        <v>6.3964700000000017</v>
      </c>
      <c r="U52" s="32">
        <f t="shared" si="13"/>
        <v>4.3797618818166538E-2</v>
      </c>
      <c r="V52" s="32">
        <f t="shared" si="14"/>
        <v>6.5278628564545009</v>
      </c>
      <c r="W52" s="32">
        <f t="shared" si="15"/>
        <v>6.2650771435455024</v>
      </c>
      <c r="X52" s="32">
        <f t="shared" si="16"/>
        <v>6.4840652376363348</v>
      </c>
      <c r="Y52" s="32">
        <f t="shared" si="17"/>
        <v>6.3088747623636685</v>
      </c>
      <c r="Z52" s="32">
        <f t="shared" si="18"/>
        <v>6.4402676188181678</v>
      </c>
      <c r="AA52" s="32">
        <f t="shared" si="19"/>
        <v>6.3526723811818355</v>
      </c>
      <c r="AB52" s="33">
        <f t="shared" si="40"/>
        <v>6.0000000000000497E-2</v>
      </c>
      <c r="AC52" s="34">
        <f t="shared" si="41"/>
        <v>4.2444444444444479E-2</v>
      </c>
      <c r="AD52" s="33">
        <f t="shared" si="42"/>
        <v>0</v>
      </c>
      <c r="AE52" s="34">
        <f t="shared" si="43"/>
        <v>0.13873391111111122</v>
      </c>
      <c r="AI52" s="16">
        <v>45</v>
      </c>
      <c r="AJ52" s="84">
        <v>25.75</v>
      </c>
      <c r="AK52" s="32">
        <f t="shared" si="20"/>
        <v>25.808199999999989</v>
      </c>
      <c r="AL52" s="32">
        <f t="shared" si="21"/>
        <v>7.4500084739969288E-2</v>
      </c>
      <c r="AM52" s="32">
        <f t="shared" si="22"/>
        <v>26.031700254219896</v>
      </c>
      <c r="AN52" s="32">
        <f t="shared" si="23"/>
        <v>25.584699745780082</v>
      </c>
      <c r="AO52" s="32">
        <f t="shared" si="24"/>
        <v>25.957200169479929</v>
      </c>
      <c r="AP52" s="32">
        <f t="shared" si="25"/>
        <v>25.659199830520048</v>
      </c>
      <c r="AQ52" s="32">
        <f t="shared" si="26"/>
        <v>25.882700084739959</v>
      </c>
      <c r="AR52" s="32">
        <f t="shared" si="27"/>
        <v>25.733699915260019</v>
      </c>
      <c r="AS52" s="33">
        <f t="shared" si="44"/>
        <v>0.10999999999999943</v>
      </c>
      <c r="AT52" s="34">
        <f t="shared" si="45"/>
        <v>6.6666666666666249E-2</v>
      </c>
      <c r="AU52" s="34">
        <f t="shared" si="46"/>
        <v>0</v>
      </c>
      <c r="AV52" s="34">
        <f t="shared" si="47"/>
        <v>0.21790666666666531</v>
      </c>
      <c r="AZ52" s="16">
        <v>45</v>
      </c>
      <c r="BA52" s="35">
        <v>25.75</v>
      </c>
      <c r="BB52" s="32">
        <f t="shared" si="28"/>
        <v>25.750800000000005</v>
      </c>
      <c r="BC52" s="32">
        <f t="shared" si="29"/>
        <v>5.7272695206019339E-2</v>
      </c>
      <c r="BD52" s="32">
        <f t="shared" si="30"/>
        <v>25.922618085618062</v>
      </c>
      <c r="BE52" s="32">
        <f t="shared" si="31"/>
        <v>25.578981914381949</v>
      </c>
      <c r="BF52" s="32">
        <f t="shared" si="32"/>
        <v>25.865345390412045</v>
      </c>
      <c r="BG52" s="32">
        <f t="shared" si="33"/>
        <v>25.636254609587965</v>
      </c>
      <c r="BH52" s="32">
        <f t="shared" si="34"/>
        <v>25.808072695206025</v>
      </c>
      <c r="BI52" s="32">
        <f t="shared" si="35"/>
        <v>25.693527304793985</v>
      </c>
      <c r="BJ52" s="33">
        <f t="shared" si="48"/>
        <v>1.0000000000001563E-2</v>
      </c>
      <c r="BK52" s="34">
        <f t="shared" si="49"/>
        <v>3.6565656565656614E-2</v>
      </c>
      <c r="BL52" s="34">
        <f t="shared" si="50"/>
        <v>0</v>
      </c>
      <c r="BM52" s="34">
        <f t="shared" si="51"/>
        <v>0.11951850505050521</v>
      </c>
      <c r="BQ52" s="22">
        <v>45</v>
      </c>
      <c r="BR52" s="121" t="str">
        <f>IF(ISBLANK(Datos!B47),"",(ABS(Datos!B46-Datos!B47)))</f>
        <v/>
      </c>
      <c r="BS52" s="121" t="str">
        <f>IF(ISBLANK(Datos!C47),"",(ABS(Datos!C46-Datos!C47)))</f>
        <v/>
      </c>
      <c r="BT52" s="121" t="str">
        <f>IF(ISBLANK(Datos!D47),"",(ABS(Datos!D46-Datos!D47)))</f>
        <v/>
      </c>
      <c r="BU52" s="21" t="str">
        <f>IF(ISBLANK(Datos!E47),"",(ABS(Datos!E46-Datos!E47)))</f>
        <v/>
      </c>
    </row>
    <row r="53" spans="1:73" x14ac:dyDescent="0.3">
      <c r="A53" s="16">
        <v>46</v>
      </c>
      <c r="B53" s="35"/>
      <c r="C53" s="32" t="e">
        <f t="shared" si="4"/>
        <v>#DIV/0!</v>
      </c>
      <c r="D53" s="32" t="e">
        <f t="shared" si="5"/>
        <v>#DIV/0!</v>
      </c>
      <c r="E53" s="32" t="e">
        <f t="shared" si="6"/>
        <v>#DIV/0!</v>
      </c>
      <c r="F53" s="32" t="e">
        <f t="shared" si="7"/>
        <v>#DIV/0!</v>
      </c>
      <c r="G53" s="32" t="e">
        <f t="shared" si="8"/>
        <v>#DIV/0!</v>
      </c>
      <c r="H53" s="32" t="e">
        <f t="shared" si="9"/>
        <v>#DIV/0!</v>
      </c>
      <c r="I53" s="32" t="e">
        <f t="shared" si="10"/>
        <v>#DIV/0!</v>
      </c>
      <c r="J53" s="32" t="e">
        <f t="shared" si="11"/>
        <v>#DIV/0!</v>
      </c>
      <c r="K53" s="33">
        <f t="shared" si="52"/>
        <v>0</v>
      </c>
      <c r="L53" s="34">
        <f t="shared" si="37"/>
        <v>0</v>
      </c>
      <c r="M53" s="33">
        <f t="shared" si="38"/>
        <v>0</v>
      </c>
      <c r="N53" s="34">
        <f t="shared" si="39"/>
        <v>0</v>
      </c>
      <c r="R53" s="16">
        <v>46</v>
      </c>
      <c r="S53" s="35">
        <v>6.37</v>
      </c>
      <c r="T53" s="32">
        <f t="shared" si="12"/>
        <v>6.3964700000000017</v>
      </c>
      <c r="U53" s="32">
        <f t="shared" si="13"/>
        <v>4.3797618818166538E-2</v>
      </c>
      <c r="V53" s="32">
        <f t="shared" si="14"/>
        <v>6.5278628564545009</v>
      </c>
      <c r="W53" s="32">
        <f t="shared" si="15"/>
        <v>6.2650771435455024</v>
      </c>
      <c r="X53" s="32">
        <f t="shared" si="16"/>
        <v>6.4840652376363348</v>
      </c>
      <c r="Y53" s="32">
        <f t="shared" si="17"/>
        <v>6.3088747623636685</v>
      </c>
      <c r="Z53" s="32">
        <f t="shared" si="18"/>
        <v>6.4402676188181678</v>
      </c>
      <c r="AA53" s="32">
        <f t="shared" si="19"/>
        <v>6.3526723811818355</v>
      </c>
      <c r="AB53" s="33">
        <f t="shared" si="40"/>
        <v>4.0000000000000036E-2</v>
      </c>
      <c r="AC53" s="34">
        <f t="shared" si="41"/>
        <v>4.2444444444444479E-2</v>
      </c>
      <c r="AD53" s="33">
        <f t="shared" si="42"/>
        <v>0</v>
      </c>
      <c r="AE53" s="34">
        <f t="shared" si="43"/>
        <v>0.13873391111111122</v>
      </c>
      <c r="AI53" s="16">
        <v>46</v>
      </c>
      <c r="AJ53" s="84">
        <v>25.83</v>
      </c>
      <c r="AK53" s="32">
        <f t="shared" si="20"/>
        <v>25.808199999999989</v>
      </c>
      <c r="AL53" s="32">
        <f t="shared" si="21"/>
        <v>7.4500084739969288E-2</v>
      </c>
      <c r="AM53" s="32">
        <f t="shared" si="22"/>
        <v>26.031700254219896</v>
      </c>
      <c r="AN53" s="32">
        <f t="shared" si="23"/>
        <v>25.584699745780082</v>
      </c>
      <c r="AO53" s="32">
        <f t="shared" si="24"/>
        <v>25.957200169479929</v>
      </c>
      <c r="AP53" s="32">
        <f t="shared" si="25"/>
        <v>25.659199830520048</v>
      </c>
      <c r="AQ53" s="32">
        <f t="shared" si="26"/>
        <v>25.882700084739959</v>
      </c>
      <c r="AR53" s="32">
        <f t="shared" si="27"/>
        <v>25.733699915260019</v>
      </c>
      <c r="AS53" s="33">
        <f t="shared" si="44"/>
        <v>7.9999999999998295E-2</v>
      </c>
      <c r="AT53" s="34">
        <f t="shared" si="45"/>
        <v>6.6666666666666249E-2</v>
      </c>
      <c r="AU53" s="34">
        <f t="shared" si="46"/>
        <v>0</v>
      </c>
      <c r="AV53" s="34">
        <f t="shared" si="47"/>
        <v>0.21790666666666531</v>
      </c>
      <c r="AZ53" s="16">
        <v>46</v>
      </c>
      <c r="BA53" s="35">
        <v>25.74</v>
      </c>
      <c r="BB53" s="32">
        <f t="shared" si="28"/>
        <v>25.750800000000005</v>
      </c>
      <c r="BC53" s="32">
        <f t="shared" si="29"/>
        <v>5.7272695206019339E-2</v>
      </c>
      <c r="BD53" s="32">
        <f t="shared" si="30"/>
        <v>25.922618085618062</v>
      </c>
      <c r="BE53" s="32">
        <f t="shared" si="31"/>
        <v>25.578981914381949</v>
      </c>
      <c r="BF53" s="32">
        <f t="shared" si="32"/>
        <v>25.865345390412045</v>
      </c>
      <c r="BG53" s="32">
        <f t="shared" si="33"/>
        <v>25.636254609587965</v>
      </c>
      <c r="BH53" s="32">
        <f t="shared" si="34"/>
        <v>25.808072695206025</v>
      </c>
      <c r="BI53" s="32">
        <f t="shared" si="35"/>
        <v>25.693527304793985</v>
      </c>
      <c r="BJ53" s="33">
        <f t="shared" si="48"/>
        <v>1.0000000000001563E-2</v>
      </c>
      <c r="BK53" s="34">
        <f t="shared" si="49"/>
        <v>3.6565656565656614E-2</v>
      </c>
      <c r="BL53" s="34">
        <f t="shared" si="50"/>
        <v>0</v>
      </c>
      <c r="BM53" s="34">
        <f t="shared" si="51"/>
        <v>0.11951850505050521</v>
      </c>
      <c r="BQ53" s="22">
        <v>46</v>
      </c>
      <c r="BR53" s="121" t="str">
        <f>IF(ISBLANK(Datos!B48),"",(ABS(Datos!B47-Datos!B48)))</f>
        <v/>
      </c>
      <c r="BS53" s="121" t="str">
        <f>IF(ISBLANK(Datos!C48),"",(ABS(Datos!C47-Datos!C48)))</f>
        <v/>
      </c>
      <c r="BT53" s="121" t="str">
        <f>IF(ISBLANK(Datos!D48),"",(ABS(Datos!D47-Datos!D48)))</f>
        <v/>
      </c>
      <c r="BU53" s="21" t="str">
        <f>IF(ISBLANK(Datos!E48),"",(ABS(Datos!E47-Datos!E48)))</f>
        <v/>
      </c>
    </row>
    <row r="54" spans="1:73" x14ac:dyDescent="0.3">
      <c r="A54" s="16">
        <v>47</v>
      </c>
      <c r="B54" s="35"/>
      <c r="C54" s="32" t="e">
        <f t="shared" si="4"/>
        <v>#DIV/0!</v>
      </c>
      <c r="D54" s="32" t="e">
        <f t="shared" si="5"/>
        <v>#DIV/0!</v>
      </c>
      <c r="E54" s="32" t="e">
        <f t="shared" si="6"/>
        <v>#DIV/0!</v>
      </c>
      <c r="F54" s="32" t="e">
        <f t="shared" si="7"/>
        <v>#DIV/0!</v>
      </c>
      <c r="G54" s="32" t="e">
        <f t="shared" si="8"/>
        <v>#DIV/0!</v>
      </c>
      <c r="H54" s="32" t="e">
        <f t="shared" si="9"/>
        <v>#DIV/0!</v>
      </c>
      <c r="I54" s="32" t="e">
        <f t="shared" si="10"/>
        <v>#DIV/0!</v>
      </c>
      <c r="J54" s="32" t="e">
        <f t="shared" si="11"/>
        <v>#DIV/0!</v>
      </c>
      <c r="K54" s="33">
        <f t="shared" si="52"/>
        <v>0</v>
      </c>
      <c r="L54" s="34">
        <f t="shared" si="37"/>
        <v>0</v>
      </c>
      <c r="M54" s="33">
        <f t="shared" si="38"/>
        <v>0</v>
      </c>
      <c r="N54" s="34">
        <f t="shared" si="39"/>
        <v>0</v>
      </c>
      <c r="R54" s="16">
        <v>47</v>
      </c>
      <c r="S54" s="35">
        <v>6.41</v>
      </c>
      <c r="T54" s="32">
        <f t="shared" si="12"/>
        <v>6.3964700000000017</v>
      </c>
      <c r="U54" s="32">
        <f t="shared" si="13"/>
        <v>4.3797618818166538E-2</v>
      </c>
      <c r="V54" s="32">
        <f t="shared" si="14"/>
        <v>6.5278628564545009</v>
      </c>
      <c r="W54" s="32">
        <f t="shared" si="15"/>
        <v>6.2650771435455024</v>
      </c>
      <c r="X54" s="32">
        <f t="shared" si="16"/>
        <v>6.4840652376363348</v>
      </c>
      <c r="Y54" s="32">
        <f t="shared" si="17"/>
        <v>6.3088747623636685</v>
      </c>
      <c r="Z54" s="32">
        <f t="shared" si="18"/>
        <v>6.4402676188181678</v>
      </c>
      <c r="AA54" s="32">
        <f t="shared" si="19"/>
        <v>6.3526723811818355</v>
      </c>
      <c r="AB54" s="33">
        <f t="shared" si="40"/>
        <v>4.0000000000000036E-2</v>
      </c>
      <c r="AC54" s="34">
        <f t="shared" si="41"/>
        <v>4.2444444444444479E-2</v>
      </c>
      <c r="AD54" s="33">
        <f t="shared" si="42"/>
        <v>0</v>
      </c>
      <c r="AE54" s="34">
        <f t="shared" si="43"/>
        <v>0.13873391111111122</v>
      </c>
      <c r="AI54" s="16">
        <v>47</v>
      </c>
      <c r="AJ54" s="84">
        <v>25.82</v>
      </c>
      <c r="AK54" s="32">
        <f t="shared" si="20"/>
        <v>25.808199999999989</v>
      </c>
      <c r="AL54" s="32">
        <f t="shared" si="21"/>
        <v>7.4500084739969288E-2</v>
      </c>
      <c r="AM54" s="32">
        <f t="shared" si="22"/>
        <v>26.031700254219896</v>
      </c>
      <c r="AN54" s="32">
        <f t="shared" si="23"/>
        <v>25.584699745780082</v>
      </c>
      <c r="AO54" s="32">
        <f t="shared" si="24"/>
        <v>25.957200169479929</v>
      </c>
      <c r="AP54" s="32">
        <f t="shared" si="25"/>
        <v>25.659199830520048</v>
      </c>
      <c r="AQ54" s="32">
        <f t="shared" si="26"/>
        <v>25.882700084739959</v>
      </c>
      <c r="AR54" s="32">
        <f t="shared" si="27"/>
        <v>25.733699915260019</v>
      </c>
      <c r="AS54" s="33">
        <f t="shared" si="44"/>
        <v>9.9999999999980105E-3</v>
      </c>
      <c r="AT54" s="34">
        <f t="shared" si="45"/>
        <v>6.6666666666666249E-2</v>
      </c>
      <c r="AU54" s="34">
        <f t="shared" si="46"/>
        <v>0</v>
      </c>
      <c r="AV54" s="34">
        <f t="shared" si="47"/>
        <v>0.21790666666666531</v>
      </c>
      <c r="AZ54" s="16">
        <v>47</v>
      </c>
      <c r="BA54" s="35">
        <v>25.75</v>
      </c>
      <c r="BB54" s="32">
        <f t="shared" si="28"/>
        <v>25.750800000000005</v>
      </c>
      <c r="BC54" s="32">
        <f t="shared" si="29"/>
        <v>5.7272695206019339E-2</v>
      </c>
      <c r="BD54" s="32">
        <f t="shared" si="30"/>
        <v>25.922618085618062</v>
      </c>
      <c r="BE54" s="32">
        <f t="shared" si="31"/>
        <v>25.578981914381949</v>
      </c>
      <c r="BF54" s="32">
        <f t="shared" si="32"/>
        <v>25.865345390412045</v>
      </c>
      <c r="BG54" s="32">
        <f t="shared" si="33"/>
        <v>25.636254609587965</v>
      </c>
      <c r="BH54" s="32">
        <f t="shared" si="34"/>
        <v>25.808072695206025</v>
      </c>
      <c r="BI54" s="32">
        <f t="shared" si="35"/>
        <v>25.693527304793985</v>
      </c>
      <c r="BJ54" s="33">
        <f t="shared" si="48"/>
        <v>1.0000000000001563E-2</v>
      </c>
      <c r="BK54" s="34">
        <f t="shared" si="49"/>
        <v>3.6565656565656614E-2</v>
      </c>
      <c r="BL54" s="34">
        <f t="shared" si="50"/>
        <v>0</v>
      </c>
      <c r="BM54" s="34">
        <f t="shared" si="51"/>
        <v>0.11951850505050521</v>
      </c>
      <c r="BQ54" s="22">
        <v>47</v>
      </c>
      <c r="BR54" s="121" t="str">
        <f>IF(ISBLANK(Datos!B49),"",(ABS(Datos!B48-Datos!B49)))</f>
        <v/>
      </c>
      <c r="BS54" s="121" t="str">
        <f>IF(ISBLANK(Datos!C49),"",(ABS(Datos!C48-Datos!C49)))</f>
        <v/>
      </c>
      <c r="BT54" s="121" t="str">
        <f>IF(ISBLANK(Datos!D49),"",(ABS(Datos!D48-Datos!D49)))</f>
        <v/>
      </c>
      <c r="BU54" s="21" t="str">
        <f>IF(ISBLANK(Datos!E49),"",(ABS(Datos!E48-Datos!E49)))</f>
        <v/>
      </c>
    </row>
    <row r="55" spans="1:73" x14ac:dyDescent="0.3">
      <c r="A55" s="16">
        <v>48</v>
      </c>
      <c r="B55" s="35"/>
      <c r="C55" s="32" t="e">
        <f t="shared" si="4"/>
        <v>#DIV/0!</v>
      </c>
      <c r="D55" s="32" t="e">
        <f t="shared" si="5"/>
        <v>#DIV/0!</v>
      </c>
      <c r="E55" s="32" t="e">
        <f t="shared" si="6"/>
        <v>#DIV/0!</v>
      </c>
      <c r="F55" s="32" t="e">
        <f t="shared" si="7"/>
        <v>#DIV/0!</v>
      </c>
      <c r="G55" s="32" t="e">
        <f t="shared" si="8"/>
        <v>#DIV/0!</v>
      </c>
      <c r="H55" s="32" t="e">
        <f t="shared" si="9"/>
        <v>#DIV/0!</v>
      </c>
      <c r="I55" s="32" t="e">
        <f t="shared" si="10"/>
        <v>#DIV/0!</v>
      </c>
      <c r="J55" s="32" t="e">
        <f t="shared" si="11"/>
        <v>#DIV/0!</v>
      </c>
      <c r="K55" s="33">
        <f t="shared" si="52"/>
        <v>0</v>
      </c>
      <c r="L55" s="34">
        <f t="shared" si="37"/>
        <v>0</v>
      </c>
      <c r="M55" s="33">
        <f t="shared" si="38"/>
        <v>0</v>
      </c>
      <c r="N55" s="34">
        <f t="shared" si="39"/>
        <v>0</v>
      </c>
      <c r="R55" s="16">
        <v>48</v>
      </c>
      <c r="S55" s="35">
        <v>6.38</v>
      </c>
      <c r="T55" s="32">
        <f t="shared" si="12"/>
        <v>6.3964700000000017</v>
      </c>
      <c r="U55" s="32">
        <f t="shared" si="13"/>
        <v>4.3797618818166538E-2</v>
      </c>
      <c r="V55" s="32">
        <f t="shared" si="14"/>
        <v>6.5278628564545009</v>
      </c>
      <c r="W55" s="32">
        <f t="shared" si="15"/>
        <v>6.2650771435455024</v>
      </c>
      <c r="X55" s="32">
        <f t="shared" si="16"/>
        <v>6.4840652376363348</v>
      </c>
      <c r="Y55" s="32">
        <f t="shared" si="17"/>
        <v>6.3088747623636685</v>
      </c>
      <c r="Z55" s="32">
        <f t="shared" si="18"/>
        <v>6.4402676188181678</v>
      </c>
      <c r="AA55" s="32">
        <f t="shared" si="19"/>
        <v>6.3526723811818355</v>
      </c>
      <c r="AB55" s="33">
        <f t="shared" si="40"/>
        <v>3.0000000000000249E-2</v>
      </c>
      <c r="AC55" s="34">
        <f t="shared" si="41"/>
        <v>4.2444444444444479E-2</v>
      </c>
      <c r="AD55" s="33">
        <f t="shared" si="42"/>
        <v>0</v>
      </c>
      <c r="AE55" s="34">
        <f t="shared" si="43"/>
        <v>0.13873391111111122</v>
      </c>
      <c r="AI55" s="16">
        <v>48</v>
      </c>
      <c r="AJ55" s="84">
        <v>25.74</v>
      </c>
      <c r="AK55" s="32">
        <f t="shared" si="20"/>
        <v>25.808199999999989</v>
      </c>
      <c r="AL55" s="32">
        <f t="shared" si="21"/>
        <v>7.4500084739969288E-2</v>
      </c>
      <c r="AM55" s="32">
        <f t="shared" si="22"/>
        <v>26.031700254219896</v>
      </c>
      <c r="AN55" s="32">
        <f t="shared" si="23"/>
        <v>25.584699745780082</v>
      </c>
      <c r="AO55" s="32">
        <f t="shared" si="24"/>
        <v>25.957200169479929</v>
      </c>
      <c r="AP55" s="32">
        <f t="shared" si="25"/>
        <v>25.659199830520048</v>
      </c>
      <c r="AQ55" s="32">
        <f t="shared" si="26"/>
        <v>25.882700084739959</v>
      </c>
      <c r="AR55" s="32">
        <f t="shared" si="27"/>
        <v>25.733699915260019</v>
      </c>
      <c r="AS55" s="33">
        <f t="shared" si="44"/>
        <v>8.0000000000001847E-2</v>
      </c>
      <c r="AT55" s="34">
        <f t="shared" si="45"/>
        <v>6.6666666666666249E-2</v>
      </c>
      <c r="AU55" s="34">
        <f t="shared" si="46"/>
        <v>0</v>
      </c>
      <c r="AV55" s="34">
        <f t="shared" si="47"/>
        <v>0.21790666666666531</v>
      </c>
      <c r="AZ55" s="16">
        <v>48</v>
      </c>
      <c r="BA55" s="35">
        <v>25.71</v>
      </c>
      <c r="BB55" s="32">
        <f t="shared" si="28"/>
        <v>25.750800000000005</v>
      </c>
      <c r="BC55" s="32">
        <f t="shared" si="29"/>
        <v>5.7272695206019339E-2</v>
      </c>
      <c r="BD55" s="32">
        <f t="shared" si="30"/>
        <v>25.922618085618062</v>
      </c>
      <c r="BE55" s="32">
        <f t="shared" si="31"/>
        <v>25.578981914381949</v>
      </c>
      <c r="BF55" s="32">
        <f t="shared" si="32"/>
        <v>25.865345390412045</v>
      </c>
      <c r="BG55" s="32">
        <f t="shared" si="33"/>
        <v>25.636254609587965</v>
      </c>
      <c r="BH55" s="32">
        <f t="shared" si="34"/>
        <v>25.808072695206025</v>
      </c>
      <c r="BI55" s="32">
        <f t="shared" si="35"/>
        <v>25.693527304793985</v>
      </c>
      <c r="BJ55" s="33">
        <f t="shared" si="48"/>
        <v>3.9999999999999147E-2</v>
      </c>
      <c r="BK55" s="34">
        <f t="shared" si="49"/>
        <v>3.6565656565656614E-2</v>
      </c>
      <c r="BL55" s="34">
        <f t="shared" si="50"/>
        <v>0</v>
      </c>
      <c r="BM55" s="34">
        <f t="shared" si="51"/>
        <v>0.11951850505050521</v>
      </c>
      <c r="BQ55" s="22">
        <v>48</v>
      </c>
      <c r="BR55" s="121" t="str">
        <f>IF(ISBLANK(Datos!B50),"",(ABS(Datos!B49-Datos!B50)))</f>
        <v/>
      </c>
      <c r="BS55" s="121" t="str">
        <f>IF(ISBLANK(Datos!C50),"",(ABS(Datos!C49-Datos!C50)))</f>
        <v/>
      </c>
      <c r="BT55" s="121" t="str">
        <f>IF(ISBLANK(Datos!D50),"",(ABS(Datos!D49-Datos!D50)))</f>
        <v/>
      </c>
      <c r="BU55" s="21" t="str">
        <f>IF(ISBLANK(Datos!E50),"",(ABS(Datos!E49-Datos!E50)))</f>
        <v/>
      </c>
    </row>
    <row r="56" spans="1:73" x14ac:dyDescent="0.3">
      <c r="A56" s="16">
        <v>49</v>
      </c>
      <c r="B56" s="35"/>
      <c r="C56" s="32" t="e">
        <f t="shared" si="4"/>
        <v>#DIV/0!</v>
      </c>
      <c r="D56" s="32" t="e">
        <f t="shared" si="5"/>
        <v>#DIV/0!</v>
      </c>
      <c r="E56" s="32" t="e">
        <f t="shared" si="6"/>
        <v>#DIV/0!</v>
      </c>
      <c r="F56" s="32" t="e">
        <f t="shared" si="7"/>
        <v>#DIV/0!</v>
      </c>
      <c r="G56" s="32" t="e">
        <f t="shared" si="8"/>
        <v>#DIV/0!</v>
      </c>
      <c r="H56" s="32" t="e">
        <f t="shared" si="9"/>
        <v>#DIV/0!</v>
      </c>
      <c r="I56" s="32" t="e">
        <f t="shared" si="10"/>
        <v>#DIV/0!</v>
      </c>
      <c r="J56" s="32" t="e">
        <f t="shared" si="11"/>
        <v>#DIV/0!</v>
      </c>
      <c r="K56" s="33">
        <f t="shared" si="52"/>
        <v>0</v>
      </c>
      <c r="L56" s="34">
        <f t="shared" si="37"/>
        <v>0</v>
      </c>
      <c r="M56" s="33">
        <f t="shared" si="38"/>
        <v>0</v>
      </c>
      <c r="N56" s="34">
        <f t="shared" si="39"/>
        <v>0</v>
      </c>
      <c r="R56" s="16">
        <v>49</v>
      </c>
      <c r="S56" s="35">
        <v>6.38</v>
      </c>
      <c r="T56" s="32">
        <f t="shared" si="12"/>
        <v>6.3964700000000017</v>
      </c>
      <c r="U56" s="32">
        <f t="shared" si="13"/>
        <v>4.3797618818166538E-2</v>
      </c>
      <c r="V56" s="32">
        <f t="shared" si="14"/>
        <v>6.5278628564545009</v>
      </c>
      <c r="W56" s="32">
        <f t="shared" si="15"/>
        <v>6.2650771435455024</v>
      </c>
      <c r="X56" s="32">
        <f t="shared" si="16"/>
        <v>6.4840652376363348</v>
      </c>
      <c r="Y56" s="32">
        <f t="shared" si="17"/>
        <v>6.3088747623636685</v>
      </c>
      <c r="Z56" s="32">
        <f t="shared" si="18"/>
        <v>6.4402676188181678</v>
      </c>
      <c r="AA56" s="32">
        <f t="shared" si="19"/>
        <v>6.3526723811818355</v>
      </c>
      <c r="AB56" s="33">
        <f t="shared" si="40"/>
        <v>0</v>
      </c>
      <c r="AC56" s="34">
        <f t="shared" si="41"/>
        <v>4.2444444444444479E-2</v>
      </c>
      <c r="AD56" s="33">
        <f t="shared" si="42"/>
        <v>0</v>
      </c>
      <c r="AE56" s="34">
        <f t="shared" si="43"/>
        <v>0.13873391111111122</v>
      </c>
      <c r="AI56" s="16">
        <v>49</v>
      </c>
      <c r="AJ56" s="84">
        <v>25.74</v>
      </c>
      <c r="AK56" s="32">
        <f t="shared" si="20"/>
        <v>25.808199999999989</v>
      </c>
      <c r="AL56" s="32">
        <f t="shared" si="21"/>
        <v>7.4500084739969288E-2</v>
      </c>
      <c r="AM56" s="32">
        <f t="shared" si="22"/>
        <v>26.031700254219896</v>
      </c>
      <c r="AN56" s="32">
        <f t="shared" si="23"/>
        <v>25.584699745780082</v>
      </c>
      <c r="AO56" s="32">
        <f t="shared" si="24"/>
        <v>25.957200169479929</v>
      </c>
      <c r="AP56" s="32">
        <f t="shared" si="25"/>
        <v>25.659199830520048</v>
      </c>
      <c r="AQ56" s="32">
        <f t="shared" si="26"/>
        <v>25.882700084739959</v>
      </c>
      <c r="AR56" s="32">
        <f t="shared" si="27"/>
        <v>25.733699915260019</v>
      </c>
      <c r="AS56" s="33">
        <f t="shared" si="44"/>
        <v>0</v>
      </c>
      <c r="AT56" s="34">
        <f t="shared" si="45"/>
        <v>6.6666666666666249E-2</v>
      </c>
      <c r="AU56" s="34">
        <f t="shared" si="46"/>
        <v>0</v>
      </c>
      <c r="AV56" s="34">
        <f t="shared" si="47"/>
        <v>0.21790666666666531</v>
      </c>
      <c r="AZ56" s="16">
        <v>49</v>
      </c>
      <c r="BA56" s="35">
        <v>25.71</v>
      </c>
      <c r="BB56" s="32">
        <f t="shared" si="28"/>
        <v>25.750800000000005</v>
      </c>
      <c r="BC56" s="32">
        <f t="shared" si="29"/>
        <v>5.7272695206019339E-2</v>
      </c>
      <c r="BD56" s="32">
        <f t="shared" si="30"/>
        <v>25.922618085618062</v>
      </c>
      <c r="BE56" s="32">
        <f t="shared" si="31"/>
        <v>25.578981914381949</v>
      </c>
      <c r="BF56" s="32">
        <f t="shared" si="32"/>
        <v>25.865345390412045</v>
      </c>
      <c r="BG56" s="32">
        <f t="shared" si="33"/>
        <v>25.636254609587965</v>
      </c>
      <c r="BH56" s="32">
        <f t="shared" si="34"/>
        <v>25.808072695206025</v>
      </c>
      <c r="BI56" s="32">
        <f t="shared" si="35"/>
        <v>25.693527304793985</v>
      </c>
      <c r="BJ56" s="33">
        <f t="shared" si="48"/>
        <v>0</v>
      </c>
      <c r="BK56" s="34">
        <f t="shared" si="49"/>
        <v>3.6565656565656614E-2</v>
      </c>
      <c r="BL56" s="34">
        <f t="shared" si="50"/>
        <v>0</v>
      </c>
      <c r="BM56" s="34">
        <f t="shared" si="51"/>
        <v>0.11951850505050521</v>
      </c>
      <c r="BQ56" s="22">
        <v>49</v>
      </c>
      <c r="BR56" s="121" t="str">
        <f>IF(ISBLANK(Datos!B51),"",(ABS(Datos!B50-Datos!B51)))</f>
        <v/>
      </c>
      <c r="BS56" s="121" t="str">
        <f>IF(ISBLANK(Datos!C51),"",(ABS(Datos!C50-Datos!C51)))</f>
        <v/>
      </c>
      <c r="BT56" s="121" t="str">
        <f>IF(ISBLANK(Datos!D51),"",(ABS(Datos!D50-Datos!D51)))</f>
        <v/>
      </c>
      <c r="BU56" s="21" t="str">
        <f>IF(ISBLANK(Datos!E51),"",(ABS(Datos!E50-Datos!E51)))</f>
        <v/>
      </c>
    </row>
    <row r="57" spans="1:73" x14ac:dyDescent="0.3">
      <c r="A57" s="16">
        <v>50</v>
      </c>
      <c r="B57" s="35"/>
      <c r="C57" s="32" t="e">
        <f t="shared" si="4"/>
        <v>#DIV/0!</v>
      </c>
      <c r="D57" s="32" t="e">
        <f t="shared" si="5"/>
        <v>#DIV/0!</v>
      </c>
      <c r="E57" s="32" t="e">
        <f t="shared" si="6"/>
        <v>#DIV/0!</v>
      </c>
      <c r="F57" s="32" t="e">
        <f t="shared" si="7"/>
        <v>#DIV/0!</v>
      </c>
      <c r="G57" s="32" t="e">
        <f t="shared" si="8"/>
        <v>#DIV/0!</v>
      </c>
      <c r="H57" s="32" t="e">
        <f t="shared" si="9"/>
        <v>#DIV/0!</v>
      </c>
      <c r="I57" s="32" t="e">
        <f t="shared" si="10"/>
        <v>#DIV/0!</v>
      </c>
      <c r="J57" s="32" t="e">
        <f t="shared" si="11"/>
        <v>#DIV/0!</v>
      </c>
      <c r="K57" s="33">
        <f t="shared" si="52"/>
        <v>0</v>
      </c>
      <c r="L57" s="34">
        <f t="shared" si="37"/>
        <v>0</v>
      </c>
      <c r="M57" s="33">
        <f t="shared" si="38"/>
        <v>0</v>
      </c>
      <c r="N57" s="34">
        <f t="shared" si="39"/>
        <v>0</v>
      </c>
      <c r="R57" s="16">
        <v>50</v>
      </c>
      <c r="S57" s="35">
        <v>6.32</v>
      </c>
      <c r="T57" s="32">
        <f t="shared" si="12"/>
        <v>6.3964700000000017</v>
      </c>
      <c r="U57" s="32">
        <f t="shared" si="13"/>
        <v>4.3797618818166538E-2</v>
      </c>
      <c r="V57" s="32">
        <f t="shared" si="14"/>
        <v>6.5278628564545009</v>
      </c>
      <c r="W57" s="32">
        <f t="shared" si="15"/>
        <v>6.2650771435455024</v>
      </c>
      <c r="X57" s="32">
        <f t="shared" si="16"/>
        <v>6.4840652376363348</v>
      </c>
      <c r="Y57" s="32">
        <f t="shared" si="17"/>
        <v>6.3088747623636685</v>
      </c>
      <c r="Z57" s="32">
        <f t="shared" si="18"/>
        <v>6.4402676188181678</v>
      </c>
      <c r="AA57" s="32">
        <f t="shared" si="19"/>
        <v>6.3526723811818355</v>
      </c>
      <c r="AB57" s="33">
        <f t="shared" si="40"/>
        <v>5.9999999999999609E-2</v>
      </c>
      <c r="AC57" s="34">
        <f t="shared" si="41"/>
        <v>4.2444444444444479E-2</v>
      </c>
      <c r="AD57" s="33">
        <f t="shared" si="42"/>
        <v>0</v>
      </c>
      <c r="AE57" s="34">
        <f t="shared" si="43"/>
        <v>0.13873391111111122</v>
      </c>
      <c r="AI57" s="16">
        <v>50</v>
      </c>
      <c r="AJ57" s="84">
        <v>25.74</v>
      </c>
      <c r="AK57" s="32">
        <f t="shared" si="20"/>
        <v>25.808199999999989</v>
      </c>
      <c r="AL57" s="32">
        <f t="shared" si="21"/>
        <v>7.4500084739969288E-2</v>
      </c>
      <c r="AM57" s="32">
        <f t="shared" si="22"/>
        <v>26.031700254219896</v>
      </c>
      <c r="AN57" s="32">
        <f t="shared" si="23"/>
        <v>25.584699745780082</v>
      </c>
      <c r="AO57" s="32">
        <f t="shared" si="24"/>
        <v>25.957200169479929</v>
      </c>
      <c r="AP57" s="32">
        <f t="shared" si="25"/>
        <v>25.659199830520048</v>
      </c>
      <c r="AQ57" s="32">
        <f t="shared" si="26"/>
        <v>25.882700084739959</v>
      </c>
      <c r="AR57" s="32">
        <f t="shared" si="27"/>
        <v>25.733699915260019</v>
      </c>
      <c r="AS57" s="33">
        <f t="shared" si="44"/>
        <v>0</v>
      </c>
      <c r="AT57" s="34">
        <f t="shared" si="45"/>
        <v>6.6666666666666249E-2</v>
      </c>
      <c r="AU57" s="34">
        <f t="shared" si="46"/>
        <v>0</v>
      </c>
      <c r="AV57" s="34">
        <f t="shared" si="47"/>
        <v>0.21790666666666531</v>
      </c>
      <c r="AZ57" s="16">
        <v>50</v>
      </c>
      <c r="BA57" s="35">
        <v>25.74</v>
      </c>
      <c r="BB57" s="32">
        <f t="shared" si="28"/>
        <v>25.750800000000005</v>
      </c>
      <c r="BC57" s="32">
        <f t="shared" si="29"/>
        <v>5.7272695206019339E-2</v>
      </c>
      <c r="BD57" s="32">
        <f t="shared" si="30"/>
        <v>25.922618085618062</v>
      </c>
      <c r="BE57" s="32">
        <f t="shared" si="31"/>
        <v>25.578981914381949</v>
      </c>
      <c r="BF57" s="32">
        <f t="shared" si="32"/>
        <v>25.865345390412045</v>
      </c>
      <c r="BG57" s="32">
        <f t="shared" si="33"/>
        <v>25.636254609587965</v>
      </c>
      <c r="BH57" s="32">
        <f t="shared" si="34"/>
        <v>25.808072695206025</v>
      </c>
      <c r="BI57" s="32">
        <f t="shared" si="35"/>
        <v>25.693527304793985</v>
      </c>
      <c r="BJ57" s="33">
        <f t="shared" si="48"/>
        <v>2.9999999999997584E-2</v>
      </c>
      <c r="BK57" s="34">
        <f t="shared" si="49"/>
        <v>3.6565656565656614E-2</v>
      </c>
      <c r="BL57" s="34">
        <f t="shared" si="50"/>
        <v>0</v>
      </c>
      <c r="BM57" s="34">
        <f t="shared" si="51"/>
        <v>0.11951850505050521</v>
      </c>
      <c r="BQ57" s="22">
        <v>50</v>
      </c>
      <c r="BR57" s="121" t="str">
        <f>IF(ISBLANK(Datos!B52),"",(ABS(Datos!B51-Datos!B52)))</f>
        <v/>
      </c>
      <c r="BS57" s="121" t="str">
        <f>IF(ISBLANK(Datos!C52),"",(ABS(Datos!C51-Datos!C52)))</f>
        <v/>
      </c>
      <c r="BT57" s="121" t="str">
        <f>IF(ISBLANK(Datos!D52),"",(ABS(Datos!D51-Datos!D52)))</f>
        <v/>
      </c>
      <c r="BU57" s="21" t="str">
        <f>IF(ISBLANK(Datos!E52),"",(ABS(Datos!E51-Datos!E52)))</f>
        <v/>
      </c>
    </row>
    <row r="58" spans="1:73" x14ac:dyDescent="0.3">
      <c r="A58" s="16">
        <v>51</v>
      </c>
      <c r="B58" s="35"/>
      <c r="C58" s="32" t="e">
        <f t="shared" si="4"/>
        <v>#DIV/0!</v>
      </c>
      <c r="D58" s="32" t="e">
        <f t="shared" si="5"/>
        <v>#DIV/0!</v>
      </c>
      <c r="E58" s="32" t="e">
        <f t="shared" si="6"/>
        <v>#DIV/0!</v>
      </c>
      <c r="F58" s="32" t="e">
        <f t="shared" si="7"/>
        <v>#DIV/0!</v>
      </c>
      <c r="G58" s="32" t="e">
        <f t="shared" si="8"/>
        <v>#DIV/0!</v>
      </c>
      <c r="H58" s="32" t="e">
        <f t="shared" si="9"/>
        <v>#DIV/0!</v>
      </c>
      <c r="I58" s="32" t="e">
        <f t="shared" si="10"/>
        <v>#DIV/0!</v>
      </c>
      <c r="J58" s="32" t="e">
        <f t="shared" si="11"/>
        <v>#DIV/0!</v>
      </c>
      <c r="K58" s="33">
        <f t="shared" si="52"/>
        <v>0</v>
      </c>
      <c r="L58" s="34">
        <f t="shared" si="37"/>
        <v>0</v>
      </c>
      <c r="M58" s="33">
        <f t="shared" si="38"/>
        <v>0</v>
      </c>
      <c r="N58" s="34">
        <f t="shared" si="39"/>
        <v>0</v>
      </c>
      <c r="R58" s="16">
        <v>51</v>
      </c>
      <c r="S58" s="35">
        <v>6.43</v>
      </c>
      <c r="T58" s="32">
        <f t="shared" si="12"/>
        <v>6.3964700000000017</v>
      </c>
      <c r="U58" s="32">
        <f t="shared" si="13"/>
        <v>4.3797618818166538E-2</v>
      </c>
      <c r="V58" s="32">
        <f t="shared" si="14"/>
        <v>6.5278628564545009</v>
      </c>
      <c r="W58" s="32">
        <f t="shared" si="15"/>
        <v>6.2650771435455024</v>
      </c>
      <c r="X58" s="32">
        <f t="shared" si="16"/>
        <v>6.4840652376363348</v>
      </c>
      <c r="Y58" s="32">
        <f t="shared" si="17"/>
        <v>6.3088747623636685</v>
      </c>
      <c r="Z58" s="32">
        <f t="shared" si="18"/>
        <v>6.4402676188181678</v>
      </c>
      <c r="AA58" s="32">
        <f t="shared" si="19"/>
        <v>6.3526723811818355</v>
      </c>
      <c r="AB58" s="33">
        <f t="shared" si="40"/>
        <v>0.10999999999999943</v>
      </c>
      <c r="AC58" s="34">
        <f t="shared" si="41"/>
        <v>4.2444444444444479E-2</v>
      </c>
      <c r="AD58" s="33">
        <f t="shared" si="42"/>
        <v>0</v>
      </c>
      <c r="AE58" s="34">
        <f t="shared" si="43"/>
        <v>0.13873391111111122</v>
      </c>
      <c r="AI58" s="16">
        <v>51</v>
      </c>
      <c r="AJ58" s="84">
        <v>25.77</v>
      </c>
      <c r="AK58" s="32">
        <f t="shared" si="20"/>
        <v>25.808199999999989</v>
      </c>
      <c r="AL58" s="32">
        <f t="shared" si="21"/>
        <v>7.4500084739969288E-2</v>
      </c>
      <c r="AM58" s="32">
        <f t="shared" si="22"/>
        <v>26.031700254219896</v>
      </c>
      <c r="AN58" s="32">
        <f t="shared" si="23"/>
        <v>25.584699745780082</v>
      </c>
      <c r="AO58" s="32">
        <f t="shared" si="24"/>
        <v>25.957200169479929</v>
      </c>
      <c r="AP58" s="32">
        <f t="shared" si="25"/>
        <v>25.659199830520048</v>
      </c>
      <c r="AQ58" s="32">
        <f t="shared" si="26"/>
        <v>25.882700084739959</v>
      </c>
      <c r="AR58" s="32">
        <f t="shared" si="27"/>
        <v>25.733699915260019</v>
      </c>
      <c r="AS58" s="33">
        <f t="shared" si="44"/>
        <v>3.0000000000001137E-2</v>
      </c>
      <c r="AT58" s="34">
        <f t="shared" si="45"/>
        <v>6.6666666666666249E-2</v>
      </c>
      <c r="AU58" s="34">
        <f t="shared" si="46"/>
        <v>0</v>
      </c>
      <c r="AV58" s="34">
        <f t="shared" si="47"/>
        <v>0.21790666666666531</v>
      </c>
      <c r="AZ58" s="16">
        <v>51</v>
      </c>
      <c r="BA58" s="35">
        <v>25.71</v>
      </c>
      <c r="BB58" s="32">
        <f t="shared" si="28"/>
        <v>25.750800000000005</v>
      </c>
      <c r="BC58" s="32">
        <f t="shared" si="29"/>
        <v>5.7272695206019339E-2</v>
      </c>
      <c r="BD58" s="32">
        <f t="shared" si="30"/>
        <v>25.922618085618062</v>
      </c>
      <c r="BE58" s="32">
        <f t="shared" si="31"/>
        <v>25.578981914381949</v>
      </c>
      <c r="BF58" s="32">
        <f t="shared" si="32"/>
        <v>25.865345390412045</v>
      </c>
      <c r="BG58" s="32">
        <f t="shared" si="33"/>
        <v>25.636254609587965</v>
      </c>
      <c r="BH58" s="32">
        <f t="shared" si="34"/>
        <v>25.808072695206025</v>
      </c>
      <c r="BI58" s="32">
        <f t="shared" si="35"/>
        <v>25.693527304793985</v>
      </c>
      <c r="BJ58" s="33">
        <f t="shared" si="48"/>
        <v>2.9999999999997584E-2</v>
      </c>
      <c r="BK58" s="34">
        <f t="shared" si="49"/>
        <v>3.6565656565656614E-2</v>
      </c>
      <c r="BL58" s="34">
        <f t="shared" si="50"/>
        <v>0</v>
      </c>
      <c r="BM58" s="34">
        <f t="shared" si="51"/>
        <v>0.11951850505050521</v>
      </c>
      <c r="BQ58" s="22">
        <v>51</v>
      </c>
      <c r="BR58" s="121" t="str">
        <f>IF(ISBLANK(Datos!B53),"",(ABS(Datos!B52-Datos!B53)))</f>
        <v/>
      </c>
      <c r="BS58" s="121" t="str">
        <f>IF(ISBLANK(Datos!C53),"",(ABS(Datos!C52-Datos!C53)))</f>
        <v/>
      </c>
      <c r="BT58" s="121" t="str">
        <f>IF(ISBLANK(Datos!D53),"",(ABS(Datos!D52-Datos!D53)))</f>
        <v/>
      </c>
      <c r="BU58" s="21" t="str">
        <f>IF(ISBLANK(Datos!E53),"",(ABS(Datos!E52-Datos!E53)))</f>
        <v/>
      </c>
    </row>
    <row r="59" spans="1:73" x14ac:dyDescent="0.3">
      <c r="A59" s="16">
        <v>52</v>
      </c>
      <c r="B59" s="35"/>
      <c r="C59" s="32" t="e">
        <f t="shared" si="4"/>
        <v>#DIV/0!</v>
      </c>
      <c r="D59" s="32" t="e">
        <f t="shared" si="5"/>
        <v>#DIV/0!</v>
      </c>
      <c r="E59" s="32" t="e">
        <f t="shared" si="6"/>
        <v>#DIV/0!</v>
      </c>
      <c r="F59" s="32" t="e">
        <f t="shared" si="7"/>
        <v>#DIV/0!</v>
      </c>
      <c r="G59" s="32" t="e">
        <f t="shared" si="8"/>
        <v>#DIV/0!</v>
      </c>
      <c r="H59" s="32" t="e">
        <f t="shared" si="9"/>
        <v>#DIV/0!</v>
      </c>
      <c r="I59" s="32" t="e">
        <f t="shared" si="10"/>
        <v>#DIV/0!</v>
      </c>
      <c r="J59" s="32" t="e">
        <f t="shared" si="11"/>
        <v>#DIV/0!</v>
      </c>
      <c r="K59" s="33">
        <f t="shared" si="52"/>
        <v>0</v>
      </c>
      <c r="L59" s="34">
        <f t="shared" si="37"/>
        <v>0</v>
      </c>
      <c r="M59" s="33">
        <f t="shared" si="38"/>
        <v>0</v>
      </c>
      <c r="N59" s="34">
        <f t="shared" si="39"/>
        <v>0</v>
      </c>
      <c r="R59" s="16">
        <v>52</v>
      </c>
      <c r="S59" s="35">
        <v>6.42</v>
      </c>
      <c r="T59" s="32">
        <f t="shared" si="12"/>
        <v>6.3964700000000017</v>
      </c>
      <c r="U59" s="32">
        <f t="shared" si="13"/>
        <v>4.3797618818166538E-2</v>
      </c>
      <c r="V59" s="32">
        <f t="shared" si="14"/>
        <v>6.5278628564545009</v>
      </c>
      <c r="W59" s="32">
        <f t="shared" si="15"/>
        <v>6.2650771435455024</v>
      </c>
      <c r="X59" s="32">
        <f t="shared" si="16"/>
        <v>6.4840652376363348</v>
      </c>
      <c r="Y59" s="32">
        <f t="shared" si="17"/>
        <v>6.3088747623636685</v>
      </c>
      <c r="Z59" s="32">
        <f t="shared" si="18"/>
        <v>6.4402676188181678</v>
      </c>
      <c r="AA59" s="32">
        <f t="shared" si="19"/>
        <v>6.3526723811818355</v>
      </c>
      <c r="AB59" s="33">
        <f t="shared" si="40"/>
        <v>9.9999999999997868E-3</v>
      </c>
      <c r="AC59" s="34">
        <f t="shared" si="41"/>
        <v>4.2444444444444479E-2</v>
      </c>
      <c r="AD59" s="33">
        <f t="shared" si="42"/>
        <v>0</v>
      </c>
      <c r="AE59" s="34">
        <f t="shared" si="43"/>
        <v>0.13873391111111122</v>
      </c>
      <c r="AI59" s="16">
        <v>52</v>
      </c>
      <c r="AJ59" s="84">
        <v>25.76</v>
      </c>
      <c r="AK59" s="32">
        <f t="shared" si="20"/>
        <v>25.808199999999989</v>
      </c>
      <c r="AL59" s="32">
        <f t="shared" si="21"/>
        <v>7.4500084739969288E-2</v>
      </c>
      <c r="AM59" s="32">
        <f t="shared" si="22"/>
        <v>26.031700254219896</v>
      </c>
      <c r="AN59" s="32">
        <f t="shared" si="23"/>
        <v>25.584699745780082</v>
      </c>
      <c r="AO59" s="32">
        <f t="shared" si="24"/>
        <v>25.957200169479929</v>
      </c>
      <c r="AP59" s="32">
        <f t="shared" si="25"/>
        <v>25.659199830520048</v>
      </c>
      <c r="AQ59" s="32">
        <f t="shared" si="26"/>
        <v>25.882700084739959</v>
      </c>
      <c r="AR59" s="32">
        <f t="shared" si="27"/>
        <v>25.733699915260019</v>
      </c>
      <c r="AS59" s="33">
        <f t="shared" si="44"/>
        <v>9.9999999999980105E-3</v>
      </c>
      <c r="AT59" s="34">
        <f t="shared" si="45"/>
        <v>6.6666666666666249E-2</v>
      </c>
      <c r="AU59" s="34">
        <f t="shared" si="46"/>
        <v>0</v>
      </c>
      <c r="AV59" s="34">
        <f t="shared" si="47"/>
        <v>0.21790666666666531</v>
      </c>
      <c r="AZ59" s="16">
        <v>52</v>
      </c>
      <c r="BA59" s="35">
        <v>25.74</v>
      </c>
      <c r="BB59" s="32">
        <f t="shared" si="28"/>
        <v>25.750800000000005</v>
      </c>
      <c r="BC59" s="32">
        <f t="shared" si="29"/>
        <v>5.7272695206019339E-2</v>
      </c>
      <c r="BD59" s="32">
        <f t="shared" si="30"/>
        <v>25.922618085618062</v>
      </c>
      <c r="BE59" s="32">
        <f t="shared" si="31"/>
        <v>25.578981914381949</v>
      </c>
      <c r="BF59" s="32">
        <f t="shared" si="32"/>
        <v>25.865345390412045</v>
      </c>
      <c r="BG59" s="32">
        <f t="shared" si="33"/>
        <v>25.636254609587965</v>
      </c>
      <c r="BH59" s="32">
        <f t="shared" si="34"/>
        <v>25.808072695206025</v>
      </c>
      <c r="BI59" s="32">
        <f t="shared" si="35"/>
        <v>25.693527304793985</v>
      </c>
      <c r="BJ59" s="33">
        <f t="shared" si="48"/>
        <v>2.9999999999997584E-2</v>
      </c>
      <c r="BK59" s="34">
        <f t="shared" si="49"/>
        <v>3.6565656565656614E-2</v>
      </c>
      <c r="BL59" s="34">
        <f t="shared" si="50"/>
        <v>0</v>
      </c>
      <c r="BM59" s="34">
        <f t="shared" si="51"/>
        <v>0.11951850505050521</v>
      </c>
      <c r="BQ59" s="22">
        <v>52</v>
      </c>
      <c r="BR59" s="121" t="str">
        <f>IF(ISBLANK(Datos!B54),"",(ABS(Datos!B53-Datos!B54)))</f>
        <v/>
      </c>
      <c r="BS59" s="121" t="str">
        <f>IF(ISBLANK(Datos!C54),"",(ABS(Datos!C53-Datos!C54)))</f>
        <v/>
      </c>
      <c r="BT59" s="121" t="str">
        <f>IF(ISBLANK(Datos!D54),"",(ABS(Datos!D53-Datos!D54)))</f>
        <v/>
      </c>
      <c r="BU59" s="21" t="str">
        <f>IF(ISBLANK(Datos!E54),"",(ABS(Datos!E53-Datos!E54)))</f>
        <v/>
      </c>
    </row>
    <row r="60" spans="1:73" x14ac:dyDescent="0.3">
      <c r="A60" s="16">
        <v>53</v>
      </c>
      <c r="B60" s="35"/>
      <c r="C60" s="32" t="e">
        <f t="shared" si="4"/>
        <v>#DIV/0!</v>
      </c>
      <c r="D60" s="32" t="e">
        <f t="shared" si="5"/>
        <v>#DIV/0!</v>
      </c>
      <c r="E60" s="32" t="e">
        <f t="shared" si="6"/>
        <v>#DIV/0!</v>
      </c>
      <c r="F60" s="32" t="e">
        <f t="shared" si="7"/>
        <v>#DIV/0!</v>
      </c>
      <c r="G60" s="32" t="e">
        <f t="shared" si="8"/>
        <v>#DIV/0!</v>
      </c>
      <c r="H60" s="32" t="e">
        <f t="shared" si="9"/>
        <v>#DIV/0!</v>
      </c>
      <c r="I60" s="32" t="e">
        <f t="shared" si="10"/>
        <v>#DIV/0!</v>
      </c>
      <c r="J60" s="32" t="e">
        <f t="shared" si="11"/>
        <v>#DIV/0!</v>
      </c>
      <c r="K60" s="33">
        <f t="shared" si="52"/>
        <v>0</v>
      </c>
      <c r="L60" s="34">
        <f t="shared" si="37"/>
        <v>0</v>
      </c>
      <c r="M60" s="33">
        <f t="shared" si="38"/>
        <v>0</v>
      </c>
      <c r="N60" s="34">
        <f t="shared" si="39"/>
        <v>0</v>
      </c>
      <c r="R60" s="16">
        <v>53</v>
      </c>
      <c r="S60" s="35">
        <v>6.36</v>
      </c>
      <c r="T60" s="32">
        <f t="shared" si="12"/>
        <v>6.3964700000000017</v>
      </c>
      <c r="U60" s="32">
        <f t="shared" si="13"/>
        <v>4.3797618818166538E-2</v>
      </c>
      <c r="V60" s="32">
        <f t="shared" si="14"/>
        <v>6.5278628564545009</v>
      </c>
      <c r="W60" s="32">
        <f t="shared" si="15"/>
        <v>6.2650771435455024</v>
      </c>
      <c r="X60" s="32">
        <f t="shared" si="16"/>
        <v>6.4840652376363348</v>
      </c>
      <c r="Y60" s="32">
        <f t="shared" si="17"/>
        <v>6.3088747623636685</v>
      </c>
      <c r="Z60" s="32">
        <f t="shared" si="18"/>
        <v>6.4402676188181678</v>
      </c>
      <c r="AA60" s="32">
        <f t="shared" si="19"/>
        <v>6.3526723811818355</v>
      </c>
      <c r="AB60" s="33">
        <f t="shared" si="40"/>
        <v>5.9999999999999609E-2</v>
      </c>
      <c r="AC60" s="34">
        <f t="shared" si="41"/>
        <v>4.2444444444444479E-2</v>
      </c>
      <c r="AD60" s="33">
        <f t="shared" si="42"/>
        <v>0</v>
      </c>
      <c r="AE60" s="34">
        <f t="shared" si="43"/>
        <v>0.13873391111111122</v>
      </c>
      <c r="AI60" s="16">
        <v>53</v>
      </c>
      <c r="AJ60" s="84">
        <v>25.67</v>
      </c>
      <c r="AK60" s="32">
        <f t="shared" si="20"/>
        <v>25.808199999999989</v>
      </c>
      <c r="AL60" s="32">
        <f t="shared" si="21"/>
        <v>7.4500084739969288E-2</v>
      </c>
      <c r="AM60" s="32">
        <f t="shared" si="22"/>
        <v>26.031700254219896</v>
      </c>
      <c r="AN60" s="32">
        <f t="shared" si="23"/>
        <v>25.584699745780082</v>
      </c>
      <c r="AO60" s="32">
        <f t="shared" si="24"/>
        <v>25.957200169479929</v>
      </c>
      <c r="AP60" s="32">
        <f t="shared" si="25"/>
        <v>25.659199830520048</v>
      </c>
      <c r="AQ60" s="32">
        <f t="shared" si="26"/>
        <v>25.882700084739959</v>
      </c>
      <c r="AR60" s="32">
        <f t="shared" si="27"/>
        <v>25.733699915260019</v>
      </c>
      <c r="AS60" s="33">
        <f t="shared" si="44"/>
        <v>8.9999999999999858E-2</v>
      </c>
      <c r="AT60" s="34">
        <f t="shared" si="45"/>
        <v>6.6666666666666249E-2</v>
      </c>
      <c r="AU60" s="34">
        <f t="shared" si="46"/>
        <v>0</v>
      </c>
      <c r="AV60" s="34">
        <f t="shared" si="47"/>
        <v>0.21790666666666531</v>
      </c>
      <c r="AZ60" s="16">
        <v>53</v>
      </c>
      <c r="BA60" s="35">
        <v>25.73</v>
      </c>
      <c r="BB60" s="32">
        <f t="shared" si="28"/>
        <v>25.750800000000005</v>
      </c>
      <c r="BC60" s="32">
        <f t="shared" si="29"/>
        <v>5.7272695206019339E-2</v>
      </c>
      <c r="BD60" s="32">
        <f t="shared" si="30"/>
        <v>25.922618085618062</v>
      </c>
      <c r="BE60" s="32">
        <f t="shared" si="31"/>
        <v>25.578981914381949</v>
      </c>
      <c r="BF60" s="32">
        <f t="shared" si="32"/>
        <v>25.865345390412045</v>
      </c>
      <c r="BG60" s="32">
        <f t="shared" si="33"/>
        <v>25.636254609587965</v>
      </c>
      <c r="BH60" s="32">
        <f t="shared" si="34"/>
        <v>25.808072695206025</v>
      </c>
      <c r="BI60" s="32">
        <f t="shared" si="35"/>
        <v>25.693527304793985</v>
      </c>
      <c r="BJ60" s="33">
        <f t="shared" si="48"/>
        <v>9.9999999999980105E-3</v>
      </c>
      <c r="BK60" s="34">
        <f t="shared" si="49"/>
        <v>3.6565656565656614E-2</v>
      </c>
      <c r="BL60" s="34">
        <f t="shared" si="50"/>
        <v>0</v>
      </c>
      <c r="BM60" s="34">
        <f t="shared" si="51"/>
        <v>0.11951850505050521</v>
      </c>
      <c r="BQ60" s="22">
        <v>53</v>
      </c>
      <c r="BR60" s="121" t="str">
        <f>IF(ISBLANK(Datos!B55),"",(ABS(Datos!B54-Datos!B55)))</f>
        <v/>
      </c>
      <c r="BS60" s="121" t="str">
        <f>IF(ISBLANK(Datos!C55),"",(ABS(Datos!C54-Datos!C55)))</f>
        <v/>
      </c>
      <c r="BT60" s="121" t="str">
        <f>IF(ISBLANK(Datos!D55),"",(ABS(Datos!D54-Datos!D55)))</f>
        <v/>
      </c>
      <c r="BU60" s="21" t="str">
        <f>IF(ISBLANK(Datos!E55),"",(ABS(Datos!E54-Datos!E55)))</f>
        <v/>
      </c>
    </row>
    <row r="61" spans="1:73" x14ac:dyDescent="0.3">
      <c r="A61" s="16">
        <v>54</v>
      </c>
      <c r="B61" s="35"/>
      <c r="C61" s="32" t="e">
        <f t="shared" si="4"/>
        <v>#DIV/0!</v>
      </c>
      <c r="D61" s="32" t="e">
        <f t="shared" si="5"/>
        <v>#DIV/0!</v>
      </c>
      <c r="E61" s="32" t="e">
        <f t="shared" si="6"/>
        <v>#DIV/0!</v>
      </c>
      <c r="F61" s="32" t="e">
        <f t="shared" si="7"/>
        <v>#DIV/0!</v>
      </c>
      <c r="G61" s="32" t="e">
        <f t="shared" si="8"/>
        <v>#DIV/0!</v>
      </c>
      <c r="H61" s="32" t="e">
        <f t="shared" si="9"/>
        <v>#DIV/0!</v>
      </c>
      <c r="I61" s="32" t="e">
        <f t="shared" si="10"/>
        <v>#DIV/0!</v>
      </c>
      <c r="J61" s="32" t="e">
        <f t="shared" si="11"/>
        <v>#DIV/0!</v>
      </c>
      <c r="K61" s="33">
        <f t="shared" si="52"/>
        <v>0</v>
      </c>
      <c r="L61" s="34">
        <f t="shared" si="37"/>
        <v>0</v>
      </c>
      <c r="M61" s="33">
        <f t="shared" si="38"/>
        <v>0</v>
      </c>
      <c r="N61" s="34">
        <f t="shared" si="39"/>
        <v>0</v>
      </c>
      <c r="R61" s="16">
        <v>54</v>
      </c>
      <c r="S61" s="35">
        <v>6.46</v>
      </c>
      <c r="T61" s="32">
        <f t="shared" si="12"/>
        <v>6.3964700000000017</v>
      </c>
      <c r="U61" s="32">
        <f t="shared" si="13"/>
        <v>4.3797618818166538E-2</v>
      </c>
      <c r="V61" s="32">
        <f t="shared" si="14"/>
        <v>6.5278628564545009</v>
      </c>
      <c r="W61" s="32">
        <f t="shared" si="15"/>
        <v>6.2650771435455024</v>
      </c>
      <c r="X61" s="32">
        <f t="shared" si="16"/>
        <v>6.4840652376363348</v>
      </c>
      <c r="Y61" s="32">
        <f t="shared" si="17"/>
        <v>6.3088747623636685</v>
      </c>
      <c r="Z61" s="32">
        <f t="shared" si="18"/>
        <v>6.4402676188181678</v>
      </c>
      <c r="AA61" s="32">
        <f t="shared" si="19"/>
        <v>6.3526723811818355</v>
      </c>
      <c r="AB61" s="33">
        <f t="shared" si="40"/>
        <v>9.9999999999999645E-2</v>
      </c>
      <c r="AC61" s="34">
        <f t="shared" si="41"/>
        <v>4.2444444444444479E-2</v>
      </c>
      <c r="AD61" s="33">
        <f t="shared" si="42"/>
        <v>0</v>
      </c>
      <c r="AE61" s="34">
        <f t="shared" si="43"/>
        <v>0.13873391111111122</v>
      </c>
      <c r="AI61" s="16">
        <v>54</v>
      </c>
      <c r="AJ61" s="84">
        <v>25.73</v>
      </c>
      <c r="AK61" s="32">
        <f t="shared" si="20"/>
        <v>25.808199999999989</v>
      </c>
      <c r="AL61" s="32">
        <f t="shared" si="21"/>
        <v>7.4500084739969288E-2</v>
      </c>
      <c r="AM61" s="32">
        <f t="shared" si="22"/>
        <v>26.031700254219896</v>
      </c>
      <c r="AN61" s="32">
        <f t="shared" si="23"/>
        <v>25.584699745780082</v>
      </c>
      <c r="AO61" s="32">
        <f t="shared" si="24"/>
        <v>25.957200169479929</v>
      </c>
      <c r="AP61" s="32">
        <f t="shared" si="25"/>
        <v>25.659199830520048</v>
      </c>
      <c r="AQ61" s="32">
        <f t="shared" si="26"/>
        <v>25.882700084739959</v>
      </c>
      <c r="AR61" s="32">
        <f t="shared" si="27"/>
        <v>25.733699915260019</v>
      </c>
      <c r="AS61" s="33">
        <f t="shared" si="44"/>
        <v>5.9999999999998721E-2</v>
      </c>
      <c r="AT61" s="34">
        <f t="shared" si="45"/>
        <v>6.6666666666666249E-2</v>
      </c>
      <c r="AU61" s="34">
        <f t="shared" si="46"/>
        <v>0</v>
      </c>
      <c r="AV61" s="34">
        <f t="shared" si="47"/>
        <v>0.21790666666666531</v>
      </c>
      <c r="AZ61" s="16">
        <v>54</v>
      </c>
      <c r="BA61" s="35">
        <v>25.79</v>
      </c>
      <c r="BB61" s="32">
        <f t="shared" si="28"/>
        <v>25.750800000000005</v>
      </c>
      <c r="BC61" s="32">
        <f t="shared" si="29"/>
        <v>5.7272695206019339E-2</v>
      </c>
      <c r="BD61" s="32">
        <f t="shared" si="30"/>
        <v>25.922618085618062</v>
      </c>
      <c r="BE61" s="32">
        <f t="shared" si="31"/>
        <v>25.578981914381949</v>
      </c>
      <c r="BF61" s="32">
        <f t="shared" si="32"/>
        <v>25.865345390412045</v>
      </c>
      <c r="BG61" s="32">
        <f t="shared" si="33"/>
        <v>25.636254609587965</v>
      </c>
      <c r="BH61" s="32">
        <f t="shared" si="34"/>
        <v>25.808072695206025</v>
      </c>
      <c r="BI61" s="32">
        <f t="shared" si="35"/>
        <v>25.693527304793985</v>
      </c>
      <c r="BJ61" s="33">
        <f t="shared" si="48"/>
        <v>5.9999999999998721E-2</v>
      </c>
      <c r="BK61" s="34">
        <f t="shared" si="49"/>
        <v>3.6565656565656614E-2</v>
      </c>
      <c r="BL61" s="34">
        <f t="shared" si="50"/>
        <v>0</v>
      </c>
      <c r="BM61" s="34">
        <f t="shared" si="51"/>
        <v>0.11951850505050521</v>
      </c>
      <c r="BQ61" s="22">
        <v>54</v>
      </c>
      <c r="BR61" s="121" t="str">
        <f>IF(ISBLANK(Datos!B56),"",(ABS(Datos!B55-Datos!B56)))</f>
        <v/>
      </c>
      <c r="BS61" s="121" t="str">
        <f>IF(ISBLANK(Datos!C56),"",(ABS(Datos!C55-Datos!C56)))</f>
        <v/>
      </c>
      <c r="BT61" s="121" t="str">
        <f>IF(ISBLANK(Datos!D56),"",(ABS(Datos!D55-Datos!D56)))</f>
        <v/>
      </c>
      <c r="BU61" s="21" t="str">
        <f>IF(ISBLANK(Datos!E56),"",(ABS(Datos!E55-Datos!E56)))</f>
        <v/>
      </c>
    </row>
    <row r="62" spans="1:73" x14ac:dyDescent="0.3">
      <c r="A62" s="16">
        <v>55</v>
      </c>
      <c r="B62" s="35"/>
      <c r="C62" s="32" t="e">
        <f t="shared" si="4"/>
        <v>#DIV/0!</v>
      </c>
      <c r="D62" s="32" t="e">
        <f t="shared" si="5"/>
        <v>#DIV/0!</v>
      </c>
      <c r="E62" s="32" t="e">
        <f t="shared" si="6"/>
        <v>#DIV/0!</v>
      </c>
      <c r="F62" s="32" t="e">
        <f t="shared" si="7"/>
        <v>#DIV/0!</v>
      </c>
      <c r="G62" s="32" t="e">
        <f t="shared" si="8"/>
        <v>#DIV/0!</v>
      </c>
      <c r="H62" s="32" t="e">
        <f t="shared" si="9"/>
        <v>#DIV/0!</v>
      </c>
      <c r="I62" s="32" t="e">
        <f t="shared" si="10"/>
        <v>#DIV/0!</v>
      </c>
      <c r="J62" s="32" t="e">
        <f t="shared" si="11"/>
        <v>#DIV/0!</v>
      </c>
      <c r="K62" s="33">
        <f t="shared" si="52"/>
        <v>0</v>
      </c>
      <c r="L62" s="34">
        <f t="shared" si="37"/>
        <v>0</v>
      </c>
      <c r="M62" s="33">
        <f t="shared" si="38"/>
        <v>0</v>
      </c>
      <c r="N62" s="34">
        <f t="shared" si="39"/>
        <v>0</v>
      </c>
      <c r="R62" s="16">
        <v>55</v>
      </c>
      <c r="S62" s="35">
        <v>6.43</v>
      </c>
      <c r="T62" s="32">
        <f t="shared" si="12"/>
        <v>6.3964700000000017</v>
      </c>
      <c r="U62" s="32">
        <f t="shared" si="13"/>
        <v>4.3797618818166538E-2</v>
      </c>
      <c r="V62" s="32">
        <f t="shared" si="14"/>
        <v>6.5278628564545009</v>
      </c>
      <c r="W62" s="32">
        <f t="shared" si="15"/>
        <v>6.2650771435455024</v>
      </c>
      <c r="X62" s="32">
        <f t="shared" si="16"/>
        <v>6.4840652376363348</v>
      </c>
      <c r="Y62" s="32">
        <f t="shared" si="17"/>
        <v>6.3088747623636685</v>
      </c>
      <c r="Z62" s="32">
        <f t="shared" si="18"/>
        <v>6.4402676188181678</v>
      </c>
      <c r="AA62" s="32">
        <f t="shared" si="19"/>
        <v>6.3526723811818355</v>
      </c>
      <c r="AB62" s="33">
        <f t="shared" si="40"/>
        <v>3.0000000000000249E-2</v>
      </c>
      <c r="AC62" s="34">
        <f t="shared" si="41"/>
        <v>4.2444444444444479E-2</v>
      </c>
      <c r="AD62" s="33">
        <f t="shared" si="42"/>
        <v>0</v>
      </c>
      <c r="AE62" s="34">
        <f t="shared" si="43"/>
        <v>0.13873391111111122</v>
      </c>
      <c r="AI62" s="16">
        <v>55</v>
      </c>
      <c r="AJ62" s="84">
        <v>25.75</v>
      </c>
      <c r="AK62" s="32">
        <f t="shared" si="20"/>
        <v>25.808199999999989</v>
      </c>
      <c r="AL62" s="32">
        <f t="shared" si="21"/>
        <v>7.4500084739969288E-2</v>
      </c>
      <c r="AM62" s="32">
        <f t="shared" si="22"/>
        <v>26.031700254219896</v>
      </c>
      <c r="AN62" s="32">
        <f t="shared" si="23"/>
        <v>25.584699745780082</v>
      </c>
      <c r="AO62" s="32">
        <f t="shared" si="24"/>
        <v>25.957200169479929</v>
      </c>
      <c r="AP62" s="32">
        <f t="shared" si="25"/>
        <v>25.659199830520048</v>
      </c>
      <c r="AQ62" s="32">
        <f t="shared" si="26"/>
        <v>25.882700084739959</v>
      </c>
      <c r="AR62" s="32">
        <f t="shared" si="27"/>
        <v>25.733699915260019</v>
      </c>
      <c r="AS62" s="33">
        <f t="shared" si="44"/>
        <v>1.9999999999999574E-2</v>
      </c>
      <c r="AT62" s="34">
        <f t="shared" si="45"/>
        <v>6.6666666666666249E-2</v>
      </c>
      <c r="AU62" s="34">
        <f t="shared" si="46"/>
        <v>0</v>
      </c>
      <c r="AV62" s="34">
        <f t="shared" si="47"/>
        <v>0.21790666666666531</v>
      </c>
      <c r="AZ62" s="16">
        <v>55</v>
      </c>
      <c r="BA62" s="35">
        <v>25.73</v>
      </c>
      <c r="BB62" s="32">
        <f t="shared" si="28"/>
        <v>25.750800000000005</v>
      </c>
      <c r="BC62" s="32">
        <f t="shared" si="29"/>
        <v>5.7272695206019339E-2</v>
      </c>
      <c r="BD62" s="32">
        <f t="shared" si="30"/>
        <v>25.922618085618062</v>
      </c>
      <c r="BE62" s="32">
        <f t="shared" si="31"/>
        <v>25.578981914381949</v>
      </c>
      <c r="BF62" s="32">
        <f t="shared" si="32"/>
        <v>25.865345390412045</v>
      </c>
      <c r="BG62" s="32">
        <f t="shared" si="33"/>
        <v>25.636254609587965</v>
      </c>
      <c r="BH62" s="32">
        <f t="shared" si="34"/>
        <v>25.808072695206025</v>
      </c>
      <c r="BI62" s="32">
        <f t="shared" si="35"/>
        <v>25.693527304793985</v>
      </c>
      <c r="BJ62" s="33">
        <f t="shared" si="48"/>
        <v>5.9999999999998721E-2</v>
      </c>
      <c r="BK62" s="34">
        <f t="shared" si="49"/>
        <v>3.6565656565656614E-2</v>
      </c>
      <c r="BL62" s="34">
        <f t="shared" si="50"/>
        <v>0</v>
      </c>
      <c r="BM62" s="34">
        <f t="shared" si="51"/>
        <v>0.11951850505050521</v>
      </c>
      <c r="BQ62" s="22">
        <v>55</v>
      </c>
      <c r="BR62" s="121" t="str">
        <f>IF(ISBLANK(Datos!B57),"",(ABS(Datos!B56-Datos!B57)))</f>
        <v/>
      </c>
      <c r="BS62" s="121" t="str">
        <f>IF(ISBLANK(Datos!C57),"",(ABS(Datos!C56-Datos!C57)))</f>
        <v/>
      </c>
      <c r="BT62" s="121" t="str">
        <f>IF(ISBLANK(Datos!D57),"",(ABS(Datos!D56-Datos!D57)))</f>
        <v/>
      </c>
      <c r="BU62" s="21" t="str">
        <f>IF(ISBLANK(Datos!E57),"",(ABS(Datos!E56-Datos!E57)))</f>
        <v/>
      </c>
    </row>
    <row r="63" spans="1:73" x14ac:dyDescent="0.3">
      <c r="A63" s="16">
        <v>56</v>
      </c>
      <c r="B63" s="35"/>
      <c r="C63" s="32" t="e">
        <f t="shared" si="4"/>
        <v>#DIV/0!</v>
      </c>
      <c r="D63" s="32" t="e">
        <f t="shared" si="5"/>
        <v>#DIV/0!</v>
      </c>
      <c r="E63" s="32" t="e">
        <f t="shared" si="6"/>
        <v>#DIV/0!</v>
      </c>
      <c r="F63" s="32" t="e">
        <f t="shared" si="7"/>
        <v>#DIV/0!</v>
      </c>
      <c r="G63" s="32" t="e">
        <f t="shared" si="8"/>
        <v>#DIV/0!</v>
      </c>
      <c r="H63" s="32" t="e">
        <f t="shared" si="9"/>
        <v>#DIV/0!</v>
      </c>
      <c r="I63" s="32" t="e">
        <f t="shared" si="10"/>
        <v>#DIV/0!</v>
      </c>
      <c r="J63" s="32" t="e">
        <f t="shared" si="11"/>
        <v>#DIV/0!</v>
      </c>
      <c r="K63" s="33">
        <f t="shared" si="52"/>
        <v>0</v>
      </c>
      <c r="L63" s="34">
        <f t="shared" si="37"/>
        <v>0</v>
      </c>
      <c r="M63" s="33">
        <f t="shared" si="38"/>
        <v>0</v>
      </c>
      <c r="N63" s="34">
        <f t="shared" si="39"/>
        <v>0</v>
      </c>
      <c r="R63" s="16">
        <v>56</v>
      </c>
      <c r="S63" s="35">
        <v>6.39</v>
      </c>
      <c r="T63" s="32">
        <f t="shared" si="12"/>
        <v>6.3964700000000017</v>
      </c>
      <c r="U63" s="32">
        <f t="shared" si="13"/>
        <v>4.3797618818166538E-2</v>
      </c>
      <c r="V63" s="32">
        <f t="shared" si="14"/>
        <v>6.5278628564545009</v>
      </c>
      <c r="W63" s="32">
        <f t="shared" si="15"/>
        <v>6.2650771435455024</v>
      </c>
      <c r="X63" s="32">
        <f t="shared" si="16"/>
        <v>6.4840652376363348</v>
      </c>
      <c r="Y63" s="32">
        <f t="shared" si="17"/>
        <v>6.3088747623636685</v>
      </c>
      <c r="Z63" s="32">
        <f t="shared" si="18"/>
        <v>6.4402676188181678</v>
      </c>
      <c r="AA63" s="32">
        <f t="shared" si="19"/>
        <v>6.3526723811818355</v>
      </c>
      <c r="AB63" s="33">
        <f t="shared" si="40"/>
        <v>4.0000000000000036E-2</v>
      </c>
      <c r="AC63" s="34">
        <f t="shared" si="41"/>
        <v>4.2444444444444479E-2</v>
      </c>
      <c r="AD63" s="33">
        <f t="shared" si="42"/>
        <v>0</v>
      </c>
      <c r="AE63" s="34">
        <f t="shared" si="43"/>
        <v>0.13873391111111122</v>
      </c>
      <c r="AI63" s="16">
        <v>56</v>
      </c>
      <c r="AJ63" s="84">
        <v>25.84</v>
      </c>
      <c r="AK63" s="32">
        <f t="shared" si="20"/>
        <v>25.808199999999989</v>
      </c>
      <c r="AL63" s="32">
        <f t="shared" si="21"/>
        <v>7.4500084739969288E-2</v>
      </c>
      <c r="AM63" s="32">
        <f t="shared" si="22"/>
        <v>26.031700254219896</v>
      </c>
      <c r="AN63" s="32">
        <f t="shared" si="23"/>
        <v>25.584699745780082</v>
      </c>
      <c r="AO63" s="32">
        <f t="shared" si="24"/>
        <v>25.957200169479929</v>
      </c>
      <c r="AP63" s="32">
        <f t="shared" si="25"/>
        <v>25.659199830520048</v>
      </c>
      <c r="AQ63" s="32">
        <f t="shared" si="26"/>
        <v>25.882700084739959</v>
      </c>
      <c r="AR63" s="32">
        <f t="shared" si="27"/>
        <v>25.733699915260019</v>
      </c>
      <c r="AS63" s="33">
        <f t="shared" si="44"/>
        <v>8.9999999999999858E-2</v>
      </c>
      <c r="AT63" s="34">
        <f t="shared" si="45"/>
        <v>6.6666666666666249E-2</v>
      </c>
      <c r="AU63" s="34">
        <f t="shared" si="46"/>
        <v>0</v>
      </c>
      <c r="AV63" s="34">
        <f t="shared" si="47"/>
        <v>0.21790666666666531</v>
      </c>
      <c r="AZ63" s="16">
        <v>56</v>
      </c>
      <c r="BA63" s="35">
        <v>25.8</v>
      </c>
      <c r="BB63" s="32">
        <f t="shared" si="28"/>
        <v>25.750800000000005</v>
      </c>
      <c r="BC63" s="32">
        <f t="shared" si="29"/>
        <v>5.7272695206019339E-2</v>
      </c>
      <c r="BD63" s="32">
        <f t="shared" si="30"/>
        <v>25.922618085618062</v>
      </c>
      <c r="BE63" s="32">
        <f t="shared" si="31"/>
        <v>25.578981914381949</v>
      </c>
      <c r="BF63" s="32">
        <f t="shared" si="32"/>
        <v>25.865345390412045</v>
      </c>
      <c r="BG63" s="32">
        <f t="shared" si="33"/>
        <v>25.636254609587965</v>
      </c>
      <c r="BH63" s="32">
        <f t="shared" si="34"/>
        <v>25.808072695206025</v>
      </c>
      <c r="BI63" s="32">
        <f t="shared" si="35"/>
        <v>25.693527304793985</v>
      </c>
      <c r="BJ63" s="33">
        <f t="shared" si="48"/>
        <v>7.0000000000000284E-2</v>
      </c>
      <c r="BK63" s="34">
        <f t="shared" si="49"/>
        <v>3.6565656565656614E-2</v>
      </c>
      <c r="BL63" s="34">
        <f t="shared" si="50"/>
        <v>0</v>
      </c>
      <c r="BM63" s="34">
        <f t="shared" si="51"/>
        <v>0.11951850505050521</v>
      </c>
      <c r="BQ63" s="22">
        <v>56</v>
      </c>
      <c r="BR63" s="121" t="str">
        <f>IF(ISBLANK(Datos!B58),"",(ABS(Datos!B57-Datos!B58)))</f>
        <v/>
      </c>
      <c r="BS63" s="121" t="str">
        <f>IF(ISBLANK(Datos!C58),"",(ABS(Datos!C57-Datos!C58)))</f>
        <v/>
      </c>
      <c r="BT63" s="121" t="str">
        <f>IF(ISBLANK(Datos!D58),"",(ABS(Datos!D57-Datos!D58)))</f>
        <v/>
      </c>
      <c r="BU63" s="21" t="str">
        <f>IF(ISBLANK(Datos!E58),"",(ABS(Datos!E57-Datos!E58)))</f>
        <v/>
      </c>
    </row>
    <row r="64" spans="1:73" x14ac:dyDescent="0.3">
      <c r="A64" s="16">
        <v>57</v>
      </c>
      <c r="B64" s="35"/>
      <c r="C64" s="32" t="e">
        <f t="shared" si="4"/>
        <v>#DIV/0!</v>
      </c>
      <c r="D64" s="32" t="e">
        <f t="shared" si="5"/>
        <v>#DIV/0!</v>
      </c>
      <c r="E64" s="32" t="e">
        <f t="shared" si="6"/>
        <v>#DIV/0!</v>
      </c>
      <c r="F64" s="32" t="e">
        <f t="shared" si="7"/>
        <v>#DIV/0!</v>
      </c>
      <c r="G64" s="32" t="e">
        <f t="shared" si="8"/>
        <v>#DIV/0!</v>
      </c>
      <c r="H64" s="32" t="e">
        <f t="shared" si="9"/>
        <v>#DIV/0!</v>
      </c>
      <c r="I64" s="32" t="e">
        <f t="shared" si="10"/>
        <v>#DIV/0!</v>
      </c>
      <c r="J64" s="32" t="e">
        <f t="shared" si="11"/>
        <v>#DIV/0!</v>
      </c>
      <c r="K64" s="33">
        <f t="shared" si="52"/>
        <v>0</v>
      </c>
      <c r="L64" s="34">
        <f t="shared" si="37"/>
        <v>0</v>
      </c>
      <c r="M64" s="33">
        <f t="shared" si="38"/>
        <v>0</v>
      </c>
      <c r="N64" s="34">
        <f t="shared" si="39"/>
        <v>0</v>
      </c>
      <c r="R64" s="16">
        <v>57</v>
      </c>
      <c r="S64" s="35">
        <v>6.38</v>
      </c>
      <c r="T64" s="32">
        <f t="shared" si="12"/>
        <v>6.3964700000000017</v>
      </c>
      <c r="U64" s="32">
        <f t="shared" si="13"/>
        <v>4.3797618818166538E-2</v>
      </c>
      <c r="V64" s="32">
        <f t="shared" si="14"/>
        <v>6.5278628564545009</v>
      </c>
      <c r="W64" s="32">
        <f t="shared" si="15"/>
        <v>6.2650771435455024</v>
      </c>
      <c r="X64" s="32">
        <f t="shared" si="16"/>
        <v>6.4840652376363348</v>
      </c>
      <c r="Y64" s="32">
        <f t="shared" si="17"/>
        <v>6.3088747623636685</v>
      </c>
      <c r="Z64" s="32">
        <f t="shared" si="18"/>
        <v>6.4402676188181678</v>
      </c>
      <c r="AA64" s="32">
        <f t="shared" si="19"/>
        <v>6.3526723811818355</v>
      </c>
      <c r="AB64" s="33">
        <f t="shared" si="40"/>
        <v>9.9999999999997868E-3</v>
      </c>
      <c r="AC64" s="34">
        <f t="shared" si="41"/>
        <v>4.2444444444444479E-2</v>
      </c>
      <c r="AD64" s="33">
        <f t="shared" si="42"/>
        <v>0</v>
      </c>
      <c r="AE64" s="34">
        <f t="shared" si="43"/>
        <v>0.13873391111111122</v>
      </c>
      <c r="AI64" s="16">
        <v>57</v>
      </c>
      <c r="AJ64" s="84">
        <v>25.76</v>
      </c>
      <c r="AK64" s="32">
        <f t="shared" si="20"/>
        <v>25.808199999999989</v>
      </c>
      <c r="AL64" s="32">
        <f t="shared" si="21"/>
        <v>7.4500084739969288E-2</v>
      </c>
      <c r="AM64" s="32">
        <f t="shared" si="22"/>
        <v>26.031700254219896</v>
      </c>
      <c r="AN64" s="32">
        <f t="shared" si="23"/>
        <v>25.584699745780082</v>
      </c>
      <c r="AO64" s="32">
        <f t="shared" si="24"/>
        <v>25.957200169479929</v>
      </c>
      <c r="AP64" s="32">
        <f t="shared" si="25"/>
        <v>25.659199830520048</v>
      </c>
      <c r="AQ64" s="32">
        <f t="shared" si="26"/>
        <v>25.882700084739959</v>
      </c>
      <c r="AR64" s="32">
        <f t="shared" si="27"/>
        <v>25.733699915260019</v>
      </c>
      <c r="AS64" s="33">
        <f t="shared" si="44"/>
        <v>7.9999999999998295E-2</v>
      </c>
      <c r="AT64" s="34">
        <f t="shared" si="45"/>
        <v>6.6666666666666249E-2</v>
      </c>
      <c r="AU64" s="34">
        <f t="shared" si="46"/>
        <v>0</v>
      </c>
      <c r="AV64" s="34">
        <f t="shared" si="47"/>
        <v>0.21790666666666531</v>
      </c>
      <c r="AZ64" s="16">
        <v>57</v>
      </c>
      <c r="BA64" s="35">
        <v>25.74</v>
      </c>
      <c r="BB64" s="32">
        <f t="shared" si="28"/>
        <v>25.750800000000005</v>
      </c>
      <c r="BC64" s="32">
        <f t="shared" si="29"/>
        <v>5.7272695206019339E-2</v>
      </c>
      <c r="BD64" s="32">
        <f t="shared" si="30"/>
        <v>25.922618085618062</v>
      </c>
      <c r="BE64" s="32">
        <f t="shared" si="31"/>
        <v>25.578981914381949</v>
      </c>
      <c r="BF64" s="32">
        <f t="shared" si="32"/>
        <v>25.865345390412045</v>
      </c>
      <c r="BG64" s="32">
        <f t="shared" si="33"/>
        <v>25.636254609587965</v>
      </c>
      <c r="BH64" s="32">
        <f t="shared" si="34"/>
        <v>25.808072695206025</v>
      </c>
      <c r="BI64" s="32">
        <f t="shared" si="35"/>
        <v>25.693527304793985</v>
      </c>
      <c r="BJ64" s="33">
        <f t="shared" si="48"/>
        <v>6.0000000000002274E-2</v>
      </c>
      <c r="BK64" s="34">
        <f t="shared" si="49"/>
        <v>3.6565656565656614E-2</v>
      </c>
      <c r="BL64" s="34">
        <f t="shared" si="50"/>
        <v>0</v>
      </c>
      <c r="BM64" s="34">
        <f t="shared" si="51"/>
        <v>0.11951850505050521</v>
      </c>
      <c r="BQ64" s="22">
        <v>57</v>
      </c>
      <c r="BR64" s="121" t="str">
        <f>IF(ISBLANK(Datos!B59),"",(ABS(Datos!B58-Datos!B59)))</f>
        <v/>
      </c>
      <c r="BS64" s="121" t="str">
        <f>IF(ISBLANK(Datos!C59),"",(ABS(Datos!C58-Datos!C59)))</f>
        <v/>
      </c>
      <c r="BT64" s="121" t="str">
        <f>IF(ISBLANK(Datos!D59),"",(ABS(Datos!D58-Datos!D59)))</f>
        <v/>
      </c>
      <c r="BU64" s="21" t="str">
        <f>IF(ISBLANK(Datos!E59),"",(ABS(Datos!E58-Datos!E59)))</f>
        <v/>
      </c>
    </row>
    <row r="65" spans="1:73" x14ac:dyDescent="0.3">
      <c r="A65" s="16">
        <v>58</v>
      </c>
      <c r="B65" s="35"/>
      <c r="C65" s="32" t="e">
        <f t="shared" si="4"/>
        <v>#DIV/0!</v>
      </c>
      <c r="D65" s="32" t="e">
        <f t="shared" si="5"/>
        <v>#DIV/0!</v>
      </c>
      <c r="E65" s="32" t="e">
        <f t="shared" si="6"/>
        <v>#DIV/0!</v>
      </c>
      <c r="F65" s="32" t="e">
        <f t="shared" si="7"/>
        <v>#DIV/0!</v>
      </c>
      <c r="G65" s="32" t="e">
        <f t="shared" si="8"/>
        <v>#DIV/0!</v>
      </c>
      <c r="H65" s="32" t="e">
        <f t="shared" si="9"/>
        <v>#DIV/0!</v>
      </c>
      <c r="I65" s="32" t="e">
        <f t="shared" si="10"/>
        <v>#DIV/0!</v>
      </c>
      <c r="J65" s="32" t="e">
        <f t="shared" si="11"/>
        <v>#DIV/0!</v>
      </c>
      <c r="K65" s="33">
        <f t="shared" si="52"/>
        <v>0</v>
      </c>
      <c r="L65" s="34">
        <f t="shared" si="37"/>
        <v>0</v>
      </c>
      <c r="M65" s="33">
        <f t="shared" si="38"/>
        <v>0</v>
      </c>
      <c r="N65" s="34">
        <f t="shared" si="39"/>
        <v>0</v>
      </c>
      <c r="R65" s="16">
        <v>58</v>
      </c>
      <c r="S65" s="35">
        <v>6.47</v>
      </c>
      <c r="T65" s="32">
        <f t="shared" si="12"/>
        <v>6.3964700000000017</v>
      </c>
      <c r="U65" s="32">
        <f t="shared" si="13"/>
        <v>4.3797618818166538E-2</v>
      </c>
      <c r="V65" s="32">
        <f t="shared" si="14"/>
        <v>6.5278628564545009</v>
      </c>
      <c r="W65" s="32">
        <f t="shared" si="15"/>
        <v>6.2650771435455024</v>
      </c>
      <c r="X65" s="32">
        <f t="shared" si="16"/>
        <v>6.4840652376363348</v>
      </c>
      <c r="Y65" s="32">
        <f t="shared" si="17"/>
        <v>6.3088747623636685</v>
      </c>
      <c r="Z65" s="32">
        <f t="shared" si="18"/>
        <v>6.4402676188181678</v>
      </c>
      <c r="AA65" s="32">
        <f t="shared" si="19"/>
        <v>6.3526723811818355</v>
      </c>
      <c r="AB65" s="33">
        <f t="shared" si="40"/>
        <v>8.9999999999999858E-2</v>
      </c>
      <c r="AC65" s="34">
        <f t="shared" si="41"/>
        <v>4.2444444444444479E-2</v>
      </c>
      <c r="AD65" s="33">
        <f t="shared" si="42"/>
        <v>0</v>
      </c>
      <c r="AE65" s="34">
        <f t="shared" si="43"/>
        <v>0.13873391111111122</v>
      </c>
      <c r="AI65" s="16">
        <v>58</v>
      </c>
      <c r="AJ65" s="84">
        <v>25.86</v>
      </c>
      <c r="AK65" s="32">
        <f t="shared" si="20"/>
        <v>25.808199999999989</v>
      </c>
      <c r="AL65" s="32">
        <f t="shared" si="21"/>
        <v>7.4500084739969288E-2</v>
      </c>
      <c r="AM65" s="32">
        <f t="shared" si="22"/>
        <v>26.031700254219896</v>
      </c>
      <c r="AN65" s="32">
        <f t="shared" si="23"/>
        <v>25.584699745780082</v>
      </c>
      <c r="AO65" s="32">
        <f t="shared" si="24"/>
        <v>25.957200169479929</v>
      </c>
      <c r="AP65" s="32">
        <f t="shared" si="25"/>
        <v>25.659199830520048</v>
      </c>
      <c r="AQ65" s="32">
        <f t="shared" si="26"/>
        <v>25.882700084739959</v>
      </c>
      <c r="AR65" s="32">
        <f t="shared" si="27"/>
        <v>25.733699915260019</v>
      </c>
      <c r="AS65" s="33">
        <f t="shared" si="44"/>
        <v>9.9999999999997868E-2</v>
      </c>
      <c r="AT65" s="34">
        <f t="shared" si="45"/>
        <v>6.6666666666666249E-2</v>
      </c>
      <c r="AU65" s="34">
        <f t="shared" si="46"/>
        <v>0</v>
      </c>
      <c r="AV65" s="34">
        <f t="shared" si="47"/>
        <v>0.21790666666666531</v>
      </c>
      <c r="AZ65" s="16">
        <v>58</v>
      </c>
      <c r="BA65" s="35">
        <v>25.75</v>
      </c>
      <c r="BB65" s="32">
        <f t="shared" si="28"/>
        <v>25.750800000000005</v>
      </c>
      <c r="BC65" s="32">
        <f t="shared" si="29"/>
        <v>5.7272695206019339E-2</v>
      </c>
      <c r="BD65" s="32">
        <f t="shared" si="30"/>
        <v>25.922618085618062</v>
      </c>
      <c r="BE65" s="32">
        <f t="shared" si="31"/>
        <v>25.578981914381949</v>
      </c>
      <c r="BF65" s="32">
        <f t="shared" si="32"/>
        <v>25.865345390412045</v>
      </c>
      <c r="BG65" s="32">
        <f t="shared" si="33"/>
        <v>25.636254609587965</v>
      </c>
      <c r="BH65" s="32">
        <f t="shared" si="34"/>
        <v>25.808072695206025</v>
      </c>
      <c r="BI65" s="32">
        <f t="shared" si="35"/>
        <v>25.693527304793985</v>
      </c>
      <c r="BJ65" s="33">
        <f t="shared" si="48"/>
        <v>1.0000000000001563E-2</v>
      </c>
      <c r="BK65" s="34">
        <f t="shared" si="49"/>
        <v>3.6565656565656614E-2</v>
      </c>
      <c r="BL65" s="34">
        <f t="shared" si="50"/>
        <v>0</v>
      </c>
      <c r="BM65" s="34">
        <f t="shared" si="51"/>
        <v>0.11951850505050521</v>
      </c>
      <c r="BQ65" s="22">
        <v>58</v>
      </c>
      <c r="BR65" s="121" t="str">
        <f>IF(ISBLANK(Datos!B60),"",(ABS(Datos!B59-Datos!B60)))</f>
        <v/>
      </c>
      <c r="BS65" s="121" t="str">
        <f>IF(ISBLANK(Datos!C60),"",(ABS(Datos!C59-Datos!C60)))</f>
        <v/>
      </c>
      <c r="BT65" s="121" t="str">
        <f>IF(ISBLANK(Datos!D60),"",(ABS(Datos!D59-Datos!D60)))</f>
        <v/>
      </c>
      <c r="BU65" s="21" t="str">
        <f>IF(ISBLANK(Datos!E60),"",(ABS(Datos!E59-Datos!E60)))</f>
        <v/>
      </c>
    </row>
    <row r="66" spans="1:73" x14ac:dyDescent="0.3">
      <c r="A66" s="16">
        <v>59</v>
      </c>
      <c r="B66" s="35"/>
      <c r="C66" s="32" t="e">
        <f t="shared" si="4"/>
        <v>#DIV/0!</v>
      </c>
      <c r="D66" s="32" t="e">
        <f t="shared" si="5"/>
        <v>#DIV/0!</v>
      </c>
      <c r="E66" s="32" t="e">
        <f t="shared" si="6"/>
        <v>#DIV/0!</v>
      </c>
      <c r="F66" s="32" t="e">
        <f t="shared" si="7"/>
        <v>#DIV/0!</v>
      </c>
      <c r="G66" s="32" t="e">
        <f t="shared" si="8"/>
        <v>#DIV/0!</v>
      </c>
      <c r="H66" s="32" t="e">
        <f t="shared" si="9"/>
        <v>#DIV/0!</v>
      </c>
      <c r="I66" s="32" t="e">
        <f t="shared" si="10"/>
        <v>#DIV/0!</v>
      </c>
      <c r="J66" s="32" t="e">
        <f t="shared" si="11"/>
        <v>#DIV/0!</v>
      </c>
      <c r="K66" s="33">
        <f t="shared" si="52"/>
        <v>0</v>
      </c>
      <c r="L66" s="34">
        <f t="shared" si="37"/>
        <v>0</v>
      </c>
      <c r="M66" s="33">
        <f t="shared" si="38"/>
        <v>0</v>
      </c>
      <c r="N66" s="34">
        <f t="shared" si="39"/>
        <v>0</v>
      </c>
      <c r="R66" s="16">
        <v>59</v>
      </c>
      <c r="S66" s="35">
        <v>6.47</v>
      </c>
      <c r="T66" s="32">
        <f t="shared" si="12"/>
        <v>6.3964700000000017</v>
      </c>
      <c r="U66" s="32">
        <f t="shared" si="13"/>
        <v>4.3797618818166538E-2</v>
      </c>
      <c r="V66" s="32">
        <f t="shared" si="14"/>
        <v>6.5278628564545009</v>
      </c>
      <c r="W66" s="32">
        <f t="shared" si="15"/>
        <v>6.2650771435455024</v>
      </c>
      <c r="X66" s="32">
        <f t="shared" si="16"/>
        <v>6.4840652376363348</v>
      </c>
      <c r="Y66" s="32">
        <f t="shared" si="17"/>
        <v>6.3088747623636685</v>
      </c>
      <c r="Z66" s="32">
        <f t="shared" si="18"/>
        <v>6.4402676188181678</v>
      </c>
      <c r="AA66" s="32">
        <f t="shared" si="19"/>
        <v>6.3526723811818355</v>
      </c>
      <c r="AB66" s="33">
        <f t="shared" si="40"/>
        <v>0</v>
      </c>
      <c r="AC66" s="34">
        <f t="shared" si="41"/>
        <v>4.2444444444444479E-2</v>
      </c>
      <c r="AD66" s="33">
        <f t="shared" si="42"/>
        <v>0</v>
      </c>
      <c r="AE66" s="34">
        <f t="shared" si="43"/>
        <v>0.13873391111111122</v>
      </c>
      <c r="AI66" s="16">
        <v>59</v>
      </c>
      <c r="AJ66" s="84">
        <v>25.78</v>
      </c>
      <c r="AK66" s="32">
        <f t="shared" si="20"/>
        <v>25.808199999999989</v>
      </c>
      <c r="AL66" s="32">
        <f t="shared" si="21"/>
        <v>7.4500084739969288E-2</v>
      </c>
      <c r="AM66" s="32">
        <f t="shared" si="22"/>
        <v>26.031700254219896</v>
      </c>
      <c r="AN66" s="32">
        <f t="shared" si="23"/>
        <v>25.584699745780082</v>
      </c>
      <c r="AO66" s="32">
        <f t="shared" si="24"/>
        <v>25.957200169479929</v>
      </c>
      <c r="AP66" s="32">
        <f t="shared" si="25"/>
        <v>25.659199830520048</v>
      </c>
      <c r="AQ66" s="32">
        <f t="shared" si="26"/>
        <v>25.882700084739959</v>
      </c>
      <c r="AR66" s="32">
        <f t="shared" si="27"/>
        <v>25.733699915260019</v>
      </c>
      <c r="AS66" s="33">
        <f t="shared" si="44"/>
        <v>7.9999999999998295E-2</v>
      </c>
      <c r="AT66" s="34">
        <f t="shared" si="45"/>
        <v>6.6666666666666249E-2</v>
      </c>
      <c r="AU66" s="34">
        <f t="shared" si="46"/>
        <v>0</v>
      </c>
      <c r="AV66" s="34">
        <f t="shared" si="47"/>
        <v>0.21790666666666531</v>
      </c>
      <c r="AZ66" s="16">
        <v>59</v>
      </c>
      <c r="BA66" s="35">
        <v>25.73</v>
      </c>
      <c r="BB66" s="32">
        <f t="shared" si="28"/>
        <v>25.750800000000005</v>
      </c>
      <c r="BC66" s="32">
        <f t="shared" si="29"/>
        <v>5.7272695206019339E-2</v>
      </c>
      <c r="BD66" s="32">
        <f t="shared" si="30"/>
        <v>25.922618085618062</v>
      </c>
      <c r="BE66" s="32">
        <f t="shared" si="31"/>
        <v>25.578981914381949</v>
      </c>
      <c r="BF66" s="32">
        <f t="shared" si="32"/>
        <v>25.865345390412045</v>
      </c>
      <c r="BG66" s="32">
        <f t="shared" si="33"/>
        <v>25.636254609587965</v>
      </c>
      <c r="BH66" s="32">
        <f t="shared" si="34"/>
        <v>25.808072695206025</v>
      </c>
      <c r="BI66" s="32">
        <f t="shared" si="35"/>
        <v>25.693527304793985</v>
      </c>
      <c r="BJ66" s="33">
        <f t="shared" si="48"/>
        <v>1.9999999999999574E-2</v>
      </c>
      <c r="BK66" s="34">
        <f t="shared" si="49"/>
        <v>3.6565656565656614E-2</v>
      </c>
      <c r="BL66" s="34">
        <f t="shared" si="50"/>
        <v>0</v>
      </c>
      <c r="BM66" s="34">
        <f t="shared" si="51"/>
        <v>0.11951850505050521</v>
      </c>
      <c r="BQ66" s="22">
        <v>59</v>
      </c>
      <c r="BR66" s="121" t="str">
        <f>IF(ISBLANK(Datos!B61),"",(ABS(Datos!B60-Datos!B61)))</f>
        <v/>
      </c>
      <c r="BS66" s="121" t="str">
        <f>IF(ISBLANK(Datos!C61),"",(ABS(Datos!C60-Datos!C61)))</f>
        <v/>
      </c>
      <c r="BT66" s="121" t="str">
        <f>IF(ISBLANK(Datos!D61),"",(ABS(Datos!D60-Datos!D61)))</f>
        <v/>
      </c>
      <c r="BU66" s="21" t="str">
        <f>IF(ISBLANK(Datos!E61),"",(ABS(Datos!E60-Datos!E61)))</f>
        <v/>
      </c>
    </row>
    <row r="67" spans="1:73" x14ac:dyDescent="0.3">
      <c r="A67" s="16">
        <v>60</v>
      </c>
      <c r="B67" s="35"/>
      <c r="C67" s="32" t="e">
        <f t="shared" si="4"/>
        <v>#DIV/0!</v>
      </c>
      <c r="D67" s="32" t="e">
        <f t="shared" si="5"/>
        <v>#DIV/0!</v>
      </c>
      <c r="E67" s="32" t="e">
        <f t="shared" si="6"/>
        <v>#DIV/0!</v>
      </c>
      <c r="F67" s="32" t="e">
        <f t="shared" si="7"/>
        <v>#DIV/0!</v>
      </c>
      <c r="G67" s="32" t="e">
        <f t="shared" si="8"/>
        <v>#DIV/0!</v>
      </c>
      <c r="H67" s="32" t="e">
        <f t="shared" si="9"/>
        <v>#DIV/0!</v>
      </c>
      <c r="I67" s="32" t="e">
        <f t="shared" si="10"/>
        <v>#DIV/0!</v>
      </c>
      <c r="J67" s="32" t="e">
        <f t="shared" si="11"/>
        <v>#DIV/0!</v>
      </c>
      <c r="K67" s="33">
        <f t="shared" si="52"/>
        <v>0</v>
      </c>
      <c r="L67" s="34">
        <f t="shared" si="37"/>
        <v>0</v>
      </c>
      <c r="M67" s="33">
        <f t="shared" si="38"/>
        <v>0</v>
      </c>
      <c r="N67" s="34">
        <f t="shared" si="39"/>
        <v>0</v>
      </c>
      <c r="R67" s="16">
        <v>60</v>
      </c>
      <c r="S67" s="35">
        <v>6.47</v>
      </c>
      <c r="T67" s="32">
        <f t="shared" si="12"/>
        <v>6.3964700000000017</v>
      </c>
      <c r="U67" s="32">
        <f t="shared" si="13"/>
        <v>4.3797618818166538E-2</v>
      </c>
      <c r="V67" s="32">
        <f t="shared" si="14"/>
        <v>6.5278628564545009</v>
      </c>
      <c r="W67" s="32">
        <f t="shared" si="15"/>
        <v>6.2650771435455024</v>
      </c>
      <c r="X67" s="32">
        <f t="shared" si="16"/>
        <v>6.4840652376363348</v>
      </c>
      <c r="Y67" s="32">
        <f t="shared" si="17"/>
        <v>6.3088747623636685</v>
      </c>
      <c r="Z67" s="32">
        <f t="shared" si="18"/>
        <v>6.4402676188181678</v>
      </c>
      <c r="AA67" s="32">
        <f t="shared" si="19"/>
        <v>6.3526723811818355</v>
      </c>
      <c r="AB67" s="33">
        <f t="shared" si="40"/>
        <v>0</v>
      </c>
      <c r="AC67" s="34">
        <f t="shared" si="41"/>
        <v>4.2444444444444479E-2</v>
      </c>
      <c r="AD67" s="33">
        <f t="shared" si="42"/>
        <v>0</v>
      </c>
      <c r="AE67" s="34">
        <f t="shared" si="43"/>
        <v>0.13873391111111122</v>
      </c>
      <c r="AI67" s="16">
        <v>60</v>
      </c>
      <c r="AJ67" s="84">
        <v>25.8</v>
      </c>
      <c r="AK67" s="32">
        <f t="shared" si="20"/>
        <v>25.808199999999989</v>
      </c>
      <c r="AL67" s="32">
        <f t="shared" si="21"/>
        <v>7.4500084739969288E-2</v>
      </c>
      <c r="AM67" s="32">
        <f t="shared" si="22"/>
        <v>26.031700254219896</v>
      </c>
      <c r="AN67" s="32">
        <f t="shared" si="23"/>
        <v>25.584699745780082</v>
      </c>
      <c r="AO67" s="32">
        <f t="shared" si="24"/>
        <v>25.957200169479929</v>
      </c>
      <c r="AP67" s="32">
        <f t="shared" si="25"/>
        <v>25.659199830520048</v>
      </c>
      <c r="AQ67" s="32">
        <f t="shared" si="26"/>
        <v>25.882700084739959</v>
      </c>
      <c r="AR67" s="32">
        <f t="shared" si="27"/>
        <v>25.733699915260019</v>
      </c>
      <c r="AS67" s="33">
        <f t="shared" si="44"/>
        <v>1.9999999999999574E-2</v>
      </c>
      <c r="AT67" s="34">
        <f t="shared" si="45"/>
        <v>6.6666666666666249E-2</v>
      </c>
      <c r="AU67" s="34">
        <f t="shared" si="46"/>
        <v>0</v>
      </c>
      <c r="AV67" s="34">
        <f t="shared" si="47"/>
        <v>0.21790666666666531</v>
      </c>
      <c r="AZ67" s="16">
        <v>60</v>
      </c>
      <c r="BA67" s="35">
        <v>25.78</v>
      </c>
      <c r="BB67" s="32">
        <f t="shared" si="28"/>
        <v>25.750800000000005</v>
      </c>
      <c r="BC67" s="32">
        <f t="shared" si="29"/>
        <v>5.7272695206019339E-2</v>
      </c>
      <c r="BD67" s="32">
        <f t="shared" si="30"/>
        <v>25.922618085618062</v>
      </c>
      <c r="BE67" s="32">
        <f t="shared" si="31"/>
        <v>25.578981914381949</v>
      </c>
      <c r="BF67" s="32">
        <f t="shared" si="32"/>
        <v>25.865345390412045</v>
      </c>
      <c r="BG67" s="32">
        <f t="shared" si="33"/>
        <v>25.636254609587965</v>
      </c>
      <c r="BH67" s="32">
        <f t="shared" si="34"/>
        <v>25.808072695206025</v>
      </c>
      <c r="BI67" s="32">
        <f t="shared" si="35"/>
        <v>25.693527304793985</v>
      </c>
      <c r="BJ67" s="33">
        <f t="shared" si="48"/>
        <v>5.0000000000000711E-2</v>
      </c>
      <c r="BK67" s="34">
        <f t="shared" si="49"/>
        <v>3.6565656565656614E-2</v>
      </c>
      <c r="BL67" s="34">
        <f t="shared" si="50"/>
        <v>0</v>
      </c>
      <c r="BM67" s="34">
        <f t="shared" si="51"/>
        <v>0.11951850505050521</v>
      </c>
      <c r="BQ67" s="22">
        <v>60</v>
      </c>
      <c r="BR67" s="121" t="str">
        <f>IF(ISBLANK(Datos!B62),"",(ABS(Datos!B61-Datos!B62)))</f>
        <v/>
      </c>
      <c r="BS67" s="121" t="str">
        <f>IF(ISBLANK(Datos!C62),"",(ABS(Datos!C61-Datos!C62)))</f>
        <v/>
      </c>
      <c r="BT67" s="121" t="str">
        <f>IF(ISBLANK(Datos!D62),"",(ABS(Datos!D61-Datos!D62)))</f>
        <v/>
      </c>
      <c r="BU67" s="21" t="str">
        <f>IF(ISBLANK(Datos!E62),"",(ABS(Datos!E61-Datos!E62)))</f>
        <v/>
      </c>
    </row>
    <row r="68" spans="1:73" x14ac:dyDescent="0.3">
      <c r="A68" s="16">
        <v>61</v>
      </c>
      <c r="B68" s="35"/>
      <c r="C68" s="32" t="e">
        <f t="shared" si="4"/>
        <v>#DIV/0!</v>
      </c>
      <c r="D68" s="32" t="e">
        <f t="shared" si="5"/>
        <v>#DIV/0!</v>
      </c>
      <c r="E68" s="32" t="e">
        <f t="shared" si="6"/>
        <v>#DIV/0!</v>
      </c>
      <c r="F68" s="32" t="e">
        <f t="shared" si="7"/>
        <v>#DIV/0!</v>
      </c>
      <c r="G68" s="32" t="e">
        <f t="shared" si="8"/>
        <v>#DIV/0!</v>
      </c>
      <c r="H68" s="32" t="e">
        <f t="shared" si="9"/>
        <v>#DIV/0!</v>
      </c>
      <c r="I68" s="32" t="e">
        <f t="shared" si="10"/>
        <v>#DIV/0!</v>
      </c>
      <c r="J68" s="32" t="e">
        <f t="shared" si="11"/>
        <v>#DIV/0!</v>
      </c>
      <c r="K68" s="33">
        <f t="shared" si="52"/>
        <v>0</v>
      </c>
      <c r="L68" s="34">
        <f t="shared" si="37"/>
        <v>0</v>
      </c>
      <c r="M68" s="33">
        <f t="shared" si="38"/>
        <v>0</v>
      </c>
      <c r="N68" s="34">
        <f t="shared" si="39"/>
        <v>0</v>
      </c>
      <c r="R68" s="16">
        <v>61</v>
      </c>
      <c r="S68" s="35">
        <v>6.35</v>
      </c>
      <c r="T68" s="32">
        <f t="shared" si="12"/>
        <v>6.3964700000000017</v>
      </c>
      <c r="U68" s="32">
        <f t="shared" si="13"/>
        <v>4.3797618818166538E-2</v>
      </c>
      <c r="V68" s="32">
        <f t="shared" si="14"/>
        <v>6.5278628564545009</v>
      </c>
      <c r="W68" s="32">
        <f t="shared" si="15"/>
        <v>6.2650771435455024</v>
      </c>
      <c r="X68" s="32">
        <f t="shared" si="16"/>
        <v>6.4840652376363348</v>
      </c>
      <c r="Y68" s="32">
        <f t="shared" si="17"/>
        <v>6.3088747623636685</v>
      </c>
      <c r="Z68" s="32">
        <f t="shared" si="18"/>
        <v>6.4402676188181678</v>
      </c>
      <c r="AA68" s="32">
        <f t="shared" si="19"/>
        <v>6.3526723811818355</v>
      </c>
      <c r="AB68" s="33">
        <f t="shared" si="40"/>
        <v>0.12000000000000011</v>
      </c>
      <c r="AC68" s="34">
        <f t="shared" si="41"/>
        <v>4.2444444444444479E-2</v>
      </c>
      <c r="AD68" s="33">
        <f t="shared" si="42"/>
        <v>0</v>
      </c>
      <c r="AE68" s="34">
        <f t="shared" si="43"/>
        <v>0.13873391111111122</v>
      </c>
      <c r="AI68" s="16">
        <v>61</v>
      </c>
      <c r="AJ68" s="84">
        <v>25.84</v>
      </c>
      <c r="AK68" s="32">
        <f t="shared" si="20"/>
        <v>25.808199999999989</v>
      </c>
      <c r="AL68" s="32">
        <f t="shared" si="21"/>
        <v>7.4500084739969288E-2</v>
      </c>
      <c r="AM68" s="32">
        <f t="shared" si="22"/>
        <v>26.031700254219896</v>
      </c>
      <c r="AN68" s="32">
        <f t="shared" si="23"/>
        <v>25.584699745780082</v>
      </c>
      <c r="AO68" s="32">
        <f t="shared" si="24"/>
        <v>25.957200169479929</v>
      </c>
      <c r="AP68" s="32">
        <f t="shared" si="25"/>
        <v>25.659199830520048</v>
      </c>
      <c r="AQ68" s="32">
        <f t="shared" si="26"/>
        <v>25.882700084739959</v>
      </c>
      <c r="AR68" s="32">
        <f t="shared" si="27"/>
        <v>25.733699915260019</v>
      </c>
      <c r="AS68" s="33">
        <f t="shared" si="44"/>
        <v>3.9999999999999147E-2</v>
      </c>
      <c r="AT68" s="34">
        <f t="shared" si="45"/>
        <v>6.6666666666666249E-2</v>
      </c>
      <c r="AU68" s="34">
        <f t="shared" si="46"/>
        <v>0</v>
      </c>
      <c r="AV68" s="34">
        <f t="shared" si="47"/>
        <v>0.21790666666666531</v>
      </c>
      <c r="AZ68" s="16">
        <v>61</v>
      </c>
      <c r="BA68" s="35">
        <v>25.75</v>
      </c>
      <c r="BB68" s="32">
        <f t="shared" si="28"/>
        <v>25.750800000000005</v>
      </c>
      <c r="BC68" s="32">
        <f t="shared" si="29"/>
        <v>5.7272695206019339E-2</v>
      </c>
      <c r="BD68" s="32">
        <f t="shared" si="30"/>
        <v>25.922618085618062</v>
      </c>
      <c r="BE68" s="32">
        <f t="shared" si="31"/>
        <v>25.578981914381949</v>
      </c>
      <c r="BF68" s="32">
        <f t="shared" si="32"/>
        <v>25.865345390412045</v>
      </c>
      <c r="BG68" s="32">
        <f t="shared" si="33"/>
        <v>25.636254609587965</v>
      </c>
      <c r="BH68" s="32">
        <f t="shared" si="34"/>
        <v>25.808072695206025</v>
      </c>
      <c r="BI68" s="32">
        <f t="shared" si="35"/>
        <v>25.693527304793985</v>
      </c>
      <c r="BJ68" s="33">
        <f t="shared" ref="BJ68:BJ131" si="53">ABS(BA67-BA68)</f>
        <v>3.0000000000001137E-2</v>
      </c>
      <c r="BK68" s="34">
        <f t="shared" si="49"/>
        <v>3.6565656565656614E-2</v>
      </c>
      <c r="BL68" s="34">
        <f t="shared" si="50"/>
        <v>0</v>
      </c>
      <c r="BM68" s="34">
        <f t="shared" si="51"/>
        <v>0.11951850505050521</v>
      </c>
      <c r="BQ68" s="22">
        <v>61</v>
      </c>
      <c r="BR68" s="121" t="str">
        <f>IF(ISBLANK(Datos!B63),"",(ABS(Datos!B62-Datos!B63)))</f>
        <v/>
      </c>
      <c r="BS68" s="121" t="str">
        <f>IF(ISBLANK(Datos!C63),"",(ABS(Datos!C62-Datos!C63)))</f>
        <v/>
      </c>
      <c r="BT68" s="121" t="str">
        <f>IF(ISBLANK(Datos!D63),"",(ABS(Datos!D62-Datos!D63)))</f>
        <v/>
      </c>
      <c r="BU68" s="21" t="str">
        <f>IF(ISBLANK(Datos!E63),"",(ABS(Datos!E62-Datos!E63)))</f>
        <v/>
      </c>
    </row>
    <row r="69" spans="1:73" x14ac:dyDescent="0.3">
      <c r="A69" s="16">
        <v>62</v>
      </c>
      <c r="B69" s="35"/>
      <c r="C69" s="32" t="e">
        <f t="shared" si="4"/>
        <v>#DIV/0!</v>
      </c>
      <c r="D69" s="32" t="e">
        <f t="shared" si="5"/>
        <v>#DIV/0!</v>
      </c>
      <c r="E69" s="32" t="e">
        <f t="shared" si="6"/>
        <v>#DIV/0!</v>
      </c>
      <c r="F69" s="32" t="e">
        <f t="shared" si="7"/>
        <v>#DIV/0!</v>
      </c>
      <c r="G69" s="32" t="e">
        <f t="shared" si="8"/>
        <v>#DIV/0!</v>
      </c>
      <c r="H69" s="32" t="e">
        <f t="shared" si="9"/>
        <v>#DIV/0!</v>
      </c>
      <c r="I69" s="32" t="e">
        <f t="shared" si="10"/>
        <v>#DIV/0!</v>
      </c>
      <c r="J69" s="32" t="e">
        <f t="shared" si="11"/>
        <v>#DIV/0!</v>
      </c>
      <c r="K69" s="33">
        <f t="shared" si="52"/>
        <v>0</v>
      </c>
      <c r="L69" s="34">
        <f t="shared" si="37"/>
        <v>0</v>
      </c>
      <c r="M69" s="33">
        <f t="shared" si="38"/>
        <v>0</v>
      </c>
      <c r="N69" s="34">
        <f t="shared" si="39"/>
        <v>0</v>
      </c>
      <c r="R69" s="16">
        <v>62</v>
      </c>
      <c r="S69" s="35">
        <v>6.43</v>
      </c>
      <c r="T69" s="32">
        <f t="shared" si="12"/>
        <v>6.3964700000000017</v>
      </c>
      <c r="U69" s="32">
        <f t="shared" si="13"/>
        <v>4.3797618818166538E-2</v>
      </c>
      <c r="V69" s="32">
        <f t="shared" si="14"/>
        <v>6.5278628564545009</v>
      </c>
      <c r="W69" s="32">
        <f t="shared" si="15"/>
        <v>6.2650771435455024</v>
      </c>
      <c r="X69" s="32">
        <f t="shared" si="16"/>
        <v>6.4840652376363348</v>
      </c>
      <c r="Y69" s="32">
        <f t="shared" si="17"/>
        <v>6.3088747623636685</v>
      </c>
      <c r="Z69" s="32">
        <f t="shared" si="18"/>
        <v>6.4402676188181678</v>
      </c>
      <c r="AA69" s="32">
        <f t="shared" si="19"/>
        <v>6.3526723811818355</v>
      </c>
      <c r="AB69" s="33">
        <f t="shared" si="40"/>
        <v>8.0000000000000071E-2</v>
      </c>
      <c r="AC69" s="34">
        <f t="shared" si="41"/>
        <v>4.2444444444444479E-2</v>
      </c>
      <c r="AD69" s="33">
        <f t="shared" si="42"/>
        <v>0</v>
      </c>
      <c r="AE69" s="34">
        <f t="shared" si="43"/>
        <v>0.13873391111111122</v>
      </c>
      <c r="AI69" s="16">
        <v>62</v>
      </c>
      <c r="AJ69" s="84">
        <v>25.78</v>
      </c>
      <c r="AK69" s="32">
        <f t="shared" si="20"/>
        <v>25.808199999999989</v>
      </c>
      <c r="AL69" s="32">
        <f t="shared" si="21"/>
        <v>7.4500084739969288E-2</v>
      </c>
      <c r="AM69" s="32">
        <f t="shared" si="22"/>
        <v>26.031700254219896</v>
      </c>
      <c r="AN69" s="32">
        <f t="shared" si="23"/>
        <v>25.584699745780082</v>
      </c>
      <c r="AO69" s="32">
        <f t="shared" si="24"/>
        <v>25.957200169479929</v>
      </c>
      <c r="AP69" s="32">
        <f t="shared" si="25"/>
        <v>25.659199830520048</v>
      </c>
      <c r="AQ69" s="32">
        <f t="shared" si="26"/>
        <v>25.882700084739959</v>
      </c>
      <c r="AR69" s="32">
        <f t="shared" si="27"/>
        <v>25.733699915260019</v>
      </c>
      <c r="AS69" s="33">
        <f t="shared" si="44"/>
        <v>5.9999999999998721E-2</v>
      </c>
      <c r="AT69" s="34">
        <f t="shared" si="45"/>
        <v>6.6666666666666249E-2</v>
      </c>
      <c r="AU69" s="34">
        <f t="shared" si="46"/>
        <v>0</v>
      </c>
      <c r="AV69" s="34">
        <f t="shared" si="47"/>
        <v>0.21790666666666531</v>
      </c>
      <c r="AZ69" s="16">
        <v>62</v>
      </c>
      <c r="BA69" s="35">
        <v>25.79</v>
      </c>
      <c r="BB69" s="32">
        <f t="shared" si="28"/>
        <v>25.750800000000005</v>
      </c>
      <c r="BC69" s="32">
        <f t="shared" si="29"/>
        <v>5.7272695206019339E-2</v>
      </c>
      <c r="BD69" s="32">
        <f t="shared" si="30"/>
        <v>25.922618085618062</v>
      </c>
      <c r="BE69" s="32">
        <f t="shared" si="31"/>
        <v>25.578981914381949</v>
      </c>
      <c r="BF69" s="32">
        <f t="shared" si="32"/>
        <v>25.865345390412045</v>
      </c>
      <c r="BG69" s="32">
        <f t="shared" si="33"/>
        <v>25.636254609587965</v>
      </c>
      <c r="BH69" s="32">
        <f t="shared" si="34"/>
        <v>25.808072695206025</v>
      </c>
      <c r="BI69" s="32">
        <f t="shared" si="35"/>
        <v>25.693527304793985</v>
      </c>
      <c r="BJ69" s="33">
        <f t="shared" si="53"/>
        <v>3.9999999999999147E-2</v>
      </c>
      <c r="BK69" s="34">
        <f t="shared" si="49"/>
        <v>3.6565656565656614E-2</v>
      </c>
      <c r="BL69" s="34">
        <f t="shared" si="50"/>
        <v>0</v>
      </c>
      <c r="BM69" s="34">
        <f t="shared" si="51"/>
        <v>0.11951850505050521</v>
      </c>
      <c r="BQ69" s="22">
        <v>62</v>
      </c>
      <c r="BR69" s="121" t="str">
        <f>IF(ISBLANK(Datos!B64),"",(ABS(Datos!B63-Datos!B64)))</f>
        <v/>
      </c>
      <c r="BS69" s="121" t="str">
        <f>IF(ISBLANK(Datos!C64),"",(ABS(Datos!C63-Datos!C64)))</f>
        <v/>
      </c>
      <c r="BT69" s="121" t="str">
        <f>IF(ISBLANK(Datos!D64),"",(ABS(Datos!D63-Datos!D64)))</f>
        <v/>
      </c>
      <c r="BU69" s="21" t="str">
        <f>IF(ISBLANK(Datos!E64),"",(ABS(Datos!E63-Datos!E64)))</f>
        <v/>
      </c>
    </row>
    <row r="70" spans="1:73" x14ac:dyDescent="0.3">
      <c r="A70" s="16">
        <v>63</v>
      </c>
      <c r="B70" s="35"/>
      <c r="C70" s="32" t="e">
        <f t="shared" si="4"/>
        <v>#DIV/0!</v>
      </c>
      <c r="D70" s="32" t="e">
        <f t="shared" si="5"/>
        <v>#DIV/0!</v>
      </c>
      <c r="E70" s="32" t="e">
        <f t="shared" si="6"/>
        <v>#DIV/0!</v>
      </c>
      <c r="F70" s="32" t="e">
        <f t="shared" si="7"/>
        <v>#DIV/0!</v>
      </c>
      <c r="G70" s="32" t="e">
        <f t="shared" si="8"/>
        <v>#DIV/0!</v>
      </c>
      <c r="H70" s="32" t="e">
        <f t="shared" si="9"/>
        <v>#DIV/0!</v>
      </c>
      <c r="I70" s="32" t="e">
        <f t="shared" si="10"/>
        <v>#DIV/0!</v>
      </c>
      <c r="J70" s="32" t="e">
        <f t="shared" si="11"/>
        <v>#DIV/0!</v>
      </c>
      <c r="K70" s="33">
        <f t="shared" si="52"/>
        <v>0</v>
      </c>
      <c r="L70" s="34">
        <f t="shared" si="37"/>
        <v>0</v>
      </c>
      <c r="M70" s="33">
        <f t="shared" si="38"/>
        <v>0</v>
      </c>
      <c r="N70" s="34">
        <f t="shared" si="39"/>
        <v>0</v>
      </c>
      <c r="R70" s="16">
        <v>63</v>
      </c>
      <c r="S70" s="35">
        <v>6.43</v>
      </c>
      <c r="T70" s="32">
        <f t="shared" si="12"/>
        <v>6.3964700000000017</v>
      </c>
      <c r="U70" s="32">
        <f t="shared" si="13"/>
        <v>4.3797618818166538E-2</v>
      </c>
      <c r="V70" s="32">
        <f t="shared" si="14"/>
        <v>6.5278628564545009</v>
      </c>
      <c r="W70" s="32">
        <f t="shared" si="15"/>
        <v>6.2650771435455024</v>
      </c>
      <c r="X70" s="32">
        <f t="shared" si="16"/>
        <v>6.4840652376363348</v>
      </c>
      <c r="Y70" s="32">
        <f t="shared" si="17"/>
        <v>6.3088747623636685</v>
      </c>
      <c r="Z70" s="32">
        <f t="shared" si="18"/>
        <v>6.4402676188181678</v>
      </c>
      <c r="AA70" s="32">
        <f t="shared" si="19"/>
        <v>6.3526723811818355</v>
      </c>
      <c r="AB70" s="33">
        <f t="shared" si="40"/>
        <v>0</v>
      </c>
      <c r="AC70" s="34">
        <f t="shared" si="41"/>
        <v>4.2444444444444479E-2</v>
      </c>
      <c r="AD70" s="33">
        <f t="shared" si="42"/>
        <v>0</v>
      </c>
      <c r="AE70" s="34">
        <f t="shared" si="43"/>
        <v>0.13873391111111122</v>
      </c>
      <c r="AI70" s="16">
        <v>63</v>
      </c>
      <c r="AJ70" s="84">
        <v>25.82</v>
      </c>
      <c r="AK70" s="32">
        <f t="shared" si="20"/>
        <v>25.808199999999989</v>
      </c>
      <c r="AL70" s="32">
        <f t="shared" si="21"/>
        <v>7.4500084739969288E-2</v>
      </c>
      <c r="AM70" s="32">
        <f t="shared" si="22"/>
        <v>26.031700254219896</v>
      </c>
      <c r="AN70" s="32">
        <f t="shared" si="23"/>
        <v>25.584699745780082</v>
      </c>
      <c r="AO70" s="32">
        <f t="shared" si="24"/>
        <v>25.957200169479929</v>
      </c>
      <c r="AP70" s="32">
        <f t="shared" si="25"/>
        <v>25.659199830520048</v>
      </c>
      <c r="AQ70" s="32">
        <f t="shared" si="26"/>
        <v>25.882700084739959</v>
      </c>
      <c r="AR70" s="32">
        <f t="shared" si="27"/>
        <v>25.733699915260019</v>
      </c>
      <c r="AS70" s="33">
        <f t="shared" si="44"/>
        <v>3.9999999999999147E-2</v>
      </c>
      <c r="AT70" s="34">
        <f t="shared" si="45"/>
        <v>6.6666666666666249E-2</v>
      </c>
      <c r="AU70" s="34">
        <f t="shared" si="46"/>
        <v>0</v>
      </c>
      <c r="AV70" s="34">
        <f t="shared" si="47"/>
        <v>0.21790666666666531</v>
      </c>
      <c r="AZ70" s="16">
        <v>63</v>
      </c>
      <c r="BA70" s="35">
        <v>25.79</v>
      </c>
      <c r="BB70" s="32">
        <f t="shared" si="28"/>
        <v>25.750800000000005</v>
      </c>
      <c r="BC70" s="32">
        <f t="shared" si="29"/>
        <v>5.7272695206019339E-2</v>
      </c>
      <c r="BD70" s="32">
        <f t="shared" si="30"/>
        <v>25.922618085618062</v>
      </c>
      <c r="BE70" s="32">
        <f t="shared" si="31"/>
        <v>25.578981914381949</v>
      </c>
      <c r="BF70" s="32">
        <f t="shared" si="32"/>
        <v>25.865345390412045</v>
      </c>
      <c r="BG70" s="32">
        <f t="shared" si="33"/>
        <v>25.636254609587965</v>
      </c>
      <c r="BH70" s="32">
        <f t="shared" si="34"/>
        <v>25.808072695206025</v>
      </c>
      <c r="BI70" s="32">
        <f t="shared" si="35"/>
        <v>25.693527304793985</v>
      </c>
      <c r="BJ70" s="33">
        <f t="shared" si="53"/>
        <v>0</v>
      </c>
      <c r="BK70" s="34">
        <f t="shared" si="49"/>
        <v>3.6565656565656614E-2</v>
      </c>
      <c r="BL70" s="34">
        <f t="shared" si="50"/>
        <v>0</v>
      </c>
      <c r="BM70" s="34">
        <f t="shared" si="51"/>
        <v>0.11951850505050521</v>
      </c>
      <c r="BQ70" s="22">
        <v>63</v>
      </c>
      <c r="BR70" s="121" t="str">
        <f>IF(ISBLANK(Datos!B65),"",(ABS(Datos!B64-Datos!B65)))</f>
        <v/>
      </c>
      <c r="BS70" s="121" t="str">
        <f>IF(ISBLANK(Datos!C65),"",(ABS(Datos!C64-Datos!C65)))</f>
        <v/>
      </c>
      <c r="BT70" s="121" t="str">
        <f>IF(ISBLANK(Datos!D65),"",(ABS(Datos!D64-Datos!D65)))</f>
        <v/>
      </c>
      <c r="BU70" s="21" t="str">
        <f>IF(ISBLANK(Datos!E65),"",(ABS(Datos!E64-Datos!E65)))</f>
        <v/>
      </c>
    </row>
    <row r="71" spans="1:73" x14ac:dyDescent="0.3">
      <c r="A71" s="16">
        <v>64</v>
      </c>
      <c r="B71" s="35"/>
      <c r="C71" s="32" t="e">
        <f t="shared" si="4"/>
        <v>#DIV/0!</v>
      </c>
      <c r="D71" s="32" t="e">
        <f t="shared" si="5"/>
        <v>#DIV/0!</v>
      </c>
      <c r="E71" s="32" t="e">
        <f t="shared" si="6"/>
        <v>#DIV/0!</v>
      </c>
      <c r="F71" s="32" t="e">
        <f t="shared" si="7"/>
        <v>#DIV/0!</v>
      </c>
      <c r="G71" s="32" t="e">
        <f t="shared" si="8"/>
        <v>#DIV/0!</v>
      </c>
      <c r="H71" s="32" t="e">
        <f t="shared" si="9"/>
        <v>#DIV/0!</v>
      </c>
      <c r="I71" s="32" t="e">
        <f t="shared" si="10"/>
        <v>#DIV/0!</v>
      </c>
      <c r="J71" s="32" t="e">
        <f t="shared" si="11"/>
        <v>#DIV/0!</v>
      </c>
      <c r="K71" s="33">
        <f t="shared" si="52"/>
        <v>0</v>
      </c>
      <c r="L71" s="34">
        <f t="shared" si="37"/>
        <v>0</v>
      </c>
      <c r="M71" s="33">
        <f t="shared" si="38"/>
        <v>0</v>
      </c>
      <c r="N71" s="34">
        <f t="shared" si="39"/>
        <v>0</v>
      </c>
      <c r="R71" s="16">
        <v>64</v>
      </c>
      <c r="S71" s="35">
        <v>6.42</v>
      </c>
      <c r="T71" s="32">
        <f t="shared" si="12"/>
        <v>6.3964700000000017</v>
      </c>
      <c r="U71" s="32">
        <f t="shared" si="13"/>
        <v>4.3797618818166538E-2</v>
      </c>
      <c r="V71" s="32">
        <f t="shared" si="14"/>
        <v>6.5278628564545009</v>
      </c>
      <c r="W71" s="32">
        <f t="shared" si="15"/>
        <v>6.2650771435455024</v>
      </c>
      <c r="X71" s="32">
        <f t="shared" si="16"/>
        <v>6.4840652376363348</v>
      </c>
      <c r="Y71" s="32">
        <f t="shared" si="17"/>
        <v>6.3088747623636685</v>
      </c>
      <c r="Z71" s="32">
        <f t="shared" si="18"/>
        <v>6.4402676188181678</v>
      </c>
      <c r="AA71" s="32">
        <f t="shared" si="19"/>
        <v>6.3526723811818355</v>
      </c>
      <c r="AB71" s="33">
        <f t="shared" si="40"/>
        <v>9.9999999999997868E-3</v>
      </c>
      <c r="AC71" s="34">
        <f t="shared" si="41"/>
        <v>4.2444444444444479E-2</v>
      </c>
      <c r="AD71" s="33">
        <f t="shared" si="42"/>
        <v>0</v>
      </c>
      <c r="AE71" s="34">
        <f t="shared" si="43"/>
        <v>0.13873391111111122</v>
      </c>
      <c r="AI71" s="16">
        <v>64</v>
      </c>
      <c r="AJ71" s="84">
        <v>25.8</v>
      </c>
      <c r="AK71" s="32">
        <f t="shared" si="20"/>
        <v>25.808199999999989</v>
      </c>
      <c r="AL71" s="32">
        <f t="shared" si="21"/>
        <v>7.4500084739969288E-2</v>
      </c>
      <c r="AM71" s="32">
        <f t="shared" si="22"/>
        <v>26.031700254219896</v>
      </c>
      <c r="AN71" s="32">
        <f t="shared" si="23"/>
        <v>25.584699745780082</v>
      </c>
      <c r="AO71" s="32">
        <f t="shared" si="24"/>
        <v>25.957200169479929</v>
      </c>
      <c r="AP71" s="32">
        <f t="shared" si="25"/>
        <v>25.659199830520048</v>
      </c>
      <c r="AQ71" s="32">
        <f t="shared" si="26"/>
        <v>25.882700084739959</v>
      </c>
      <c r="AR71" s="32">
        <f t="shared" si="27"/>
        <v>25.733699915260019</v>
      </c>
      <c r="AS71" s="33">
        <f t="shared" si="44"/>
        <v>1.9999999999999574E-2</v>
      </c>
      <c r="AT71" s="34">
        <f t="shared" si="45"/>
        <v>6.6666666666666249E-2</v>
      </c>
      <c r="AU71" s="34">
        <f t="shared" si="46"/>
        <v>0</v>
      </c>
      <c r="AV71" s="34">
        <f t="shared" si="47"/>
        <v>0.21790666666666531</v>
      </c>
      <c r="AZ71" s="16">
        <v>64</v>
      </c>
      <c r="BA71" s="35">
        <v>25.81</v>
      </c>
      <c r="BB71" s="32">
        <f t="shared" si="28"/>
        <v>25.750800000000005</v>
      </c>
      <c r="BC71" s="32">
        <f t="shared" si="29"/>
        <v>5.7272695206019339E-2</v>
      </c>
      <c r="BD71" s="32">
        <f t="shared" si="30"/>
        <v>25.922618085618062</v>
      </c>
      <c r="BE71" s="32">
        <f t="shared" si="31"/>
        <v>25.578981914381949</v>
      </c>
      <c r="BF71" s="32">
        <f t="shared" si="32"/>
        <v>25.865345390412045</v>
      </c>
      <c r="BG71" s="32">
        <f t="shared" si="33"/>
        <v>25.636254609587965</v>
      </c>
      <c r="BH71" s="32">
        <f t="shared" si="34"/>
        <v>25.808072695206025</v>
      </c>
      <c r="BI71" s="32">
        <f t="shared" si="35"/>
        <v>25.693527304793985</v>
      </c>
      <c r="BJ71" s="33">
        <f t="shared" si="53"/>
        <v>1.9999999999999574E-2</v>
      </c>
      <c r="BK71" s="34">
        <f t="shared" si="49"/>
        <v>3.6565656565656614E-2</v>
      </c>
      <c r="BL71" s="34">
        <f t="shared" si="50"/>
        <v>0</v>
      </c>
      <c r="BM71" s="34">
        <f t="shared" si="51"/>
        <v>0.11951850505050521</v>
      </c>
      <c r="BQ71" s="22">
        <v>64</v>
      </c>
      <c r="BR71" s="121" t="str">
        <f>IF(ISBLANK(Datos!B66),"",(ABS(Datos!B65-Datos!B66)))</f>
        <v/>
      </c>
      <c r="BS71" s="121" t="str">
        <f>IF(ISBLANK(Datos!C66),"",(ABS(Datos!C65-Datos!C66)))</f>
        <v/>
      </c>
      <c r="BT71" s="121" t="str">
        <f>IF(ISBLANK(Datos!D66),"",(ABS(Datos!D65-Datos!D66)))</f>
        <v/>
      </c>
      <c r="BU71" s="21" t="str">
        <f>IF(ISBLANK(Datos!E66),"",(ABS(Datos!E65-Datos!E66)))</f>
        <v/>
      </c>
    </row>
    <row r="72" spans="1:73" x14ac:dyDescent="0.3">
      <c r="A72" s="16">
        <v>65</v>
      </c>
      <c r="B72" s="35"/>
      <c r="C72" s="32" t="e">
        <f t="shared" si="4"/>
        <v>#DIV/0!</v>
      </c>
      <c r="D72" s="32" t="e">
        <f t="shared" si="5"/>
        <v>#DIV/0!</v>
      </c>
      <c r="E72" s="32" t="e">
        <f t="shared" si="6"/>
        <v>#DIV/0!</v>
      </c>
      <c r="F72" s="32" t="e">
        <f t="shared" si="7"/>
        <v>#DIV/0!</v>
      </c>
      <c r="G72" s="32" t="e">
        <f t="shared" si="8"/>
        <v>#DIV/0!</v>
      </c>
      <c r="H72" s="32" t="e">
        <f t="shared" si="9"/>
        <v>#DIV/0!</v>
      </c>
      <c r="I72" s="32" t="e">
        <f t="shared" si="10"/>
        <v>#DIV/0!</v>
      </c>
      <c r="J72" s="32" t="e">
        <f t="shared" si="11"/>
        <v>#DIV/0!</v>
      </c>
      <c r="K72" s="33">
        <f t="shared" si="52"/>
        <v>0</v>
      </c>
      <c r="L72" s="34">
        <f t="shared" si="37"/>
        <v>0</v>
      </c>
      <c r="M72" s="33">
        <f t="shared" si="38"/>
        <v>0</v>
      </c>
      <c r="N72" s="34">
        <f t="shared" si="39"/>
        <v>0</v>
      </c>
      <c r="R72" s="16">
        <v>65</v>
      </c>
      <c r="S72" s="35">
        <v>6.49</v>
      </c>
      <c r="T72" s="32">
        <f t="shared" si="12"/>
        <v>6.3964700000000017</v>
      </c>
      <c r="U72" s="32">
        <f t="shared" si="13"/>
        <v>4.3797618818166538E-2</v>
      </c>
      <c r="V72" s="32">
        <f t="shared" si="14"/>
        <v>6.5278628564545009</v>
      </c>
      <c r="W72" s="32">
        <f t="shared" si="15"/>
        <v>6.2650771435455024</v>
      </c>
      <c r="X72" s="32">
        <f t="shared" si="16"/>
        <v>6.4840652376363348</v>
      </c>
      <c r="Y72" s="32">
        <f t="shared" si="17"/>
        <v>6.3088747623636685</v>
      </c>
      <c r="Z72" s="32">
        <f t="shared" si="18"/>
        <v>6.4402676188181678</v>
      </c>
      <c r="AA72" s="32">
        <f t="shared" si="19"/>
        <v>6.3526723811818355</v>
      </c>
      <c r="AB72" s="33">
        <f t="shared" si="40"/>
        <v>7.0000000000000284E-2</v>
      </c>
      <c r="AC72" s="34">
        <f t="shared" si="41"/>
        <v>4.2444444444444479E-2</v>
      </c>
      <c r="AD72" s="33">
        <f t="shared" si="42"/>
        <v>0</v>
      </c>
      <c r="AE72" s="34">
        <f t="shared" si="43"/>
        <v>0.13873391111111122</v>
      </c>
      <c r="AI72" s="16">
        <v>65</v>
      </c>
      <c r="AJ72" s="84">
        <v>25.67</v>
      </c>
      <c r="AK72" s="32">
        <f t="shared" si="20"/>
        <v>25.808199999999989</v>
      </c>
      <c r="AL72" s="32">
        <f t="shared" si="21"/>
        <v>7.4500084739969288E-2</v>
      </c>
      <c r="AM72" s="32">
        <f t="shared" si="22"/>
        <v>26.031700254219896</v>
      </c>
      <c r="AN72" s="32">
        <f t="shared" si="23"/>
        <v>25.584699745780082</v>
      </c>
      <c r="AO72" s="32">
        <f t="shared" si="24"/>
        <v>25.957200169479929</v>
      </c>
      <c r="AP72" s="32">
        <f t="shared" si="25"/>
        <v>25.659199830520048</v>
      </c>
      <c r="AQ72" s="32">
        <f t="shared" si="26"/>
        <v>25.882700084739959</v>
      </c>
      <c r="AR72" s="32">
        <f t="shared" si="27"/>
        <v>25.733699915260019</v>
      </c>
      <c r="AS72" s="33">
        <f t="shared" si="44"/>
        <v>0.12999999999999901</v>
      </c>
      <c r="AT72" s="34">
        <f t="shared" si="45"/>
        <v>6.6666666666666249E-2</v>
      </c>
      <c r="AU72" s="34">
        <f t="shared" si="46"/>
        <v>0</v>
      </c>
      <c r="AV72" s="34">
        <f t="shared" si="47"/>
        <v>0.21790666666666531</v>
      </c>
      <c r="AZ72" s="16">
        <v>65</v>
      </c>
      <c r="BA72" s="35">
        <v>25.74</v>
      </c>
      <c r="BB72" s="32">
        <f t="shared" si="28"/>
        <v>25.750800000000005</v>
      </c>
      <c r="BC72" s="32">
        <f t="shared" si="29"/>
        <v>5.7272695206019339E-2</v>
      </c>
      <c r="BD72" s="32">
        <f t="shared" si="30"/>
        <v>25.922618085618062</v>
      </c>
      <c r="BE72" s="32">
        <f t="shared" si="31"/>
        <v>25.578981914381949</v>
      </c>
      <c r="BF72" s="32">
        <f t="shared" si="32"/>
        <v>25.865345390412045</v>
      </c>
      <c r="BG72" s="32">
        <f t="shared" si="33"/>
        <v>25.636254609587965</v>
      </c>
      <c r="BH72" s="32">
        <f t="shared" si="34"/>
        <v>25.808072695206025</v>
      </c>
      <c r="BI72" s="32">
        <f t="shared" si="35"/>
        <v>25.693527304793985</v>
      </c>
      <c r="BJ72" s="33">
        <f t="shared" si="53"/>
        <v>7.0000000000000284E-2</v>
      </c>
      <c r="BK72" s="34">
        <f t="shared" si="49"/>
        <v>3.6565656565656614E-2</v>
      </c>
      <c r="BL72" s="34">
        <f t="shared" si="50"/>
        <v>0</v>
      </c>
      <c r="BM72" s="34">
        <f t="shared" si="51"/>
        <v>0.11951850505050521</v>
      </c>
      <c r="BQ72" s="22">
        <v>65</v>
      </c>
      <c r="BR72" s="121" t="str">
        <f>IF(ISBLANK(Datos!B67),"",(ABS(Datos!B66-Datos!B67)))</f>
        <v/>
      </c>
      <c r="BS72" s="121" t="str">
        <f>IF(ISBLANK(Datos!C67),"",(ABS(Datos!C66-Datos!C67)))</f>
        <v/>
      </c>
      <c r="BT72" s="121" t="str">
        <f>IF(ISBLANK(Datos!D67),"",(ABS(Datos!D66-Datos!D67)))</f>
        <v/>
      </c>
      <c r="BU72" s="21" t="str">
        <f>IF(ISBLANK(Datos!E67),"",(ABS(Datos!E66-Datos!E67)))</f>
        <v/>
      </c>
    </row>
    <row r="73" spans="1:73" x14ac:dyDescent="0.3">
      <c r="A73" s="16">
        <v>66</v>
      </c>
      <c r="B73" s="35"/>
      <c r="C73" s="32" t="e">
        <f t="shared" ref="C73:C136" si="54">$C$7</f>
        <v>#DIV/0!</v>
      </c>
      <c r="D73" s="32" t="e">
        <f t="shared" ref="D73:D136" si="55">$D$7</f>
        <v>#DIV/0!</v>
      </c>
      <c r="E73" s="32" t="e">
        <f t="shared" ref="E73:E136" si="56">$E$7</f>
        <v>#DIV/0!</v>
      </c>
      <c r="F73" s="32" t="e">
        <f t="shared" ref="F73:F136" si="57">$F$7</f>
        <v>#DIV/0!</v>
      </c>
      <c r="G73" s="32" t="e">
        <f t="shared" ref="G73:G136" si="58">$G$7</f>
        <v>#DIV/0!</v>
      </c>
      <c r="H73" s="32" t="e">
        <f t="shared" ref="H73:H136" si="59">$H$7</f>
        <v>#DIV/0!</v>
      </c>
      <c r="I73" s="32" t="e">
        <f t="shared" ref="I73:I136" si="60">$I$7</f>
        <v>#DIV/0!</v>
      </c>
      <c r="J73" s="32" t="e">
        <f t="shared" ref="J73:J136" si="61">$J$7</f>
        <v>#DIV/0!</v>
      </c>
      <c r="K73" s="33">
        <f t="shared" si="52"/>
        <v>0</v>
      </c>
      <c r="L73" s="34">
        <f t="shared" si="37"/>
        <v>0</v>
      </c>
      <c r="M73" s="33">
        <f t="shared" si="38"/>
        <v>0</v>
      </c>
      <c r="N73" s="34">
        <f t="shared" si="39"/>
        <v>0</v>
      </c>
      <c r="R73" s="16">
        <v>66</v>
      </c>
      <c r="S73" s="35">
        <v>6.45</v>
      </c>
      <c r="T73" s="32">
        <f t="shared" ref="T73:T136" si="62">$T$7</f>
        <v>6.3964700000000017</v>
      </c>
      <c r="U73" s="32">
        <f t="shared" ref="U73:U136" si="63">$U$7</f>
        <v>4.3797618818166538E-2</v>
      </c>
      <c r="V73" s="32">
        <f t="shared" ref="V73:V136" si="64">$V$7</f>
        <v>6.5278628564545009</v>
      </c>
      <c r="W73" s="32">
        <f t="shared" ref="W73:W136" si="65">$W$7</f>
        <v>6.2650771435455024</v>
      </c>
      <c r="X73" s="32">
        <f t="shared" ref="X73:X136" si="66">$X$7</f>
        <v>6.4840652376363348</v>
      </c>
      <c r="Y73" s="32">
        <f t="shared" ref="Y73:Y136" si="67">$Y$7</f>
        <v>6.3088747623636685</v>
      </c>
      <c r="Z73" s="32">
        <f t="shared" ref="Z73:Z136" si="68">$Z$7</f>
        <v>6.4402676188181678</v>
      </c>
      <c r="AA73" s="32">
        <f t="shared" ref="AA73:AA136" si="69">$AA$7</f>
        <v>6.3526723811818355</v>
      </c>
      <c r="AB73" s="33">
        <f t="shared" si="40"/>
        <v>4.0000000000000036E-2</v>
      </c>
      <c r="AC73" s="34">
        <f t="shared" si="41"/>
        <v>4.2444444444444479E-2</v>
      </c>
      <c r="AD73" s="33">
        <f t="shared" si="42"/>
        <v>0</v>
      </c>
      <c r="AE73" s="34">
        <f t="shared" si="43"/>
        <v>0.13873391111111122</v>
      </c>
      <c r="AI73" s="16">
        <v>66</v>
      </c>
      <c r="AJ73" s="84">
        <v>25.82</v>
      </c>
      <c r="AK73" s="32">
        <f t="shared" ref="AK73:AK136" si="70">$AK$7</f>
        <v>25.808199999999989</v>
      </c>
      <c r="AL73" s="32">
        <f t="shared" ref="AL73:AL136" si="71">$AL$7</f>
        <v>7.4500084739969288E-2</v>
      </c>
      <c r="AM73" s="32">
        <f t="shared" ref="AM73:AM136" si="72">$AM$7</f>
        <v>26.031700254219896</v>
      </c>
      <c r="AN73" s="32">
        <f t="shared" ref="AN73:AN136" si="73">$AN$7</f>
        <v>25.584699745780082</v>
      </c>
      <c r="AO73" s="32">
        <f t="shared" ref="AO73:AO136" si="74">$AO$7</f>
        <v>25.957200169479929</v>
      </c>
      <c r="AP73" s="32">
        <f t="shared" ref="AP73:AP136" si="75">$AP$7</f>
        <v>25.659199830520048</v>
      </c>
      <c r="AQ73" s="32">
        <f t="shared" ref="AQ73:AQ136" si="76">$AQ$7</f>
        <v>25.882700084739959</v>
      </c>
      <c r="AR73" s="32">
        <f t="shared" ref="AR73:AR136" si="77">$AR$7</f>
        <v>25.733699915260019</v>
      </c>
      <c r="AS73" s="33">
        <f t="shared" si="44"/>
        <v>0.14999999999999858</v>
      </c>
      <c r="AT73" s="34">
        <f t="shared" si="45"/>
        <v>6.6666666666666249E-2</v>
      </c>
      <c r="AU73" s="34">
        <f t="shared" si="46"/>
        <v>0</v>
      </c>
      <c r="AV73" s="34">
        <f t="shared" si="47"/>
        <v>0.21790666666666531</v>
      </c>
      <c r="AZ73" s="16">
        <v>66</v>
      </c>
      <c r="BA73" s="35">
        <v>25.8</v>
      </c>
      <c r="BB73" s="32">
        <f t="shared" ref="BB73:BB136" si="78">$BB$7</f>
        <v>25.750800000000005</v>
      </c>
      <c r="BC73" s="32">
        <f t="shared" ref="BC73:BC136" si="79">$BC$7</f>
        <v>5.7272695206019339E-2</v>
      </c>
      <c r="BD73" s="32">
        <f t="shared" ref="BD73:BD136" si="80">$BD$7</f>
        <v>25.922618085618062</v>
      </c>
      <c r="BE73" s="32">
        <f t="shared" ref="BE73:BE136" si="81">$BE$7</f>
        <v>25.578981914381949</v>
      </c>
      <c r="BF73" s="32">
        <f t="shared" ref="BF73:BF136" si="82">$BF$7</f>
        <v>25.865345390412045</v>
      </c>
      <c r="BG73" s="32">
        <f t="shared" ref="BG73:BG136" si="83">$BG$7</f>
        <v>25.636254609587965</v>
      </c>
      <c r="BH73" s="32">
        <f t="shared" ref="BH73:BH136" si="84">$BH$7</f>
        <v>25.808072695206025</v>
      </c>
      <c r="BI73" s="32">
        <f t="shared" ref="BI73:BI136" si="85">BI72</f>
        <v>25.693527304793985</v>
      </c>
      <c r="BJ73" s="33">
        <f t="shared" si="53"/>
        <v>6.0000000000002274E-2</v>
      </c>
      <c r="BK73" s="34">
        <f t="shared" si="49"/>
        <v>3.6565656565656614E-2</v>
      </c>
      <c r="BL73" s="34">
        <f t="shared" si="50"/>
        <v>0</v>
      </c>
      <c r="BM73" s="34">
        <f t="shared" si="51"/>
        <v>0.11951850505050521</v>
      </c>
      <c r="BQ73" s="22">
        <v>66</v>
      </c>
      <c r="BR73" s="121" t="str">
        <f>IF(ISBLANK(Datos!B68),"",(ABS(Datos!B67-Datos!B68)))</f>
        <v/>
      </c>
      <c r="BS73" s="121" t="str">
        <f>IF(ISBLANK(Datos!C68),"",(ABS(Datos!C67-Datos!C68)))</f>
        <v/>
      </c>
      <c r="BT73" s="121" t="str">
        <f>IF(ISBLANK(Datos!D68),"",(ABS(Datos!D67-Datos!D68)))</f>
        <v/>
      </c>
      <c r="BU73" s="21" t="str">
        <f>IF(ISBLANK(Datos!E68),"",(ABS(Datos!E67-Datos!E68)))</f>
        <v/>
      </c>
    </row>
    <row r="74" spans="1:73" x14ac:dyDescent="0.3">
      <c r="A74" s="16">
        <v>67</v>
      </c>
      <c r="B74" s="35"/>
      <c r="C74" s="32" t="e">
        <f t="shared" si="54"/>
        <v>#DIV/0!</v>
      </c>
      <c r="D74" s="32" t="e">
        <f t="shared" si="55"/>
        <v>#DIV/0!</v>
      </c>
      <c r="E74" s="32" t="e">
        <f t="shared" si="56"/>
        <v>#DIV/0!</v>
      </c>
      <c r="F74" s="32" t="e">
        <f t="shared" si="57"/>
        <v>#DIV/0!</v>
      </c>
      <c r="G74" s="32" t="e">
        <f t="shared" si="58"/>
        <v>#DIV/0!</v>
      </c>
      <c r="H74" s="32" t="e">
        <f t="shared" si="59"/>
        <v>#DIV/0!</v>
      </c>
      <c r="I74" s="32" t="e">
        <f t="shared" si="60"/>
        <v>#DIV/0!</v>
      </c>
      <c r="J74" s="32" t="e">
        <f t="shared" si="61"/>
        <v>#DIV/0!</v>
      </c>
      <c r="K74" s="33">
        <f t="shared" si="52"/>
        <v>0</v>
      </c>
      <c r="L74" s="34">
        <f t="shared" ref="L74:L137" si="86">$L$8</f>
        <v>0</v>
      </c>
      <c r="M74" s="33">
        <f t="shared" ref="M74:M137" si="87">$M$8</f>
        <v>0</v>
      </c>
      <c r="N74" s="34">
        <f t="shared" ref="N74:N137" si="88">$N$8</f>
        <v>0</v>
      </c>
      <c r="R74" s="16">
        <v>67</v>
      </c>
      <c r="S74" s="35">
        <v>6.36</v>
      </c>
      <c r="T74" s="32">
        <f t="shared" si="62"/>
        <v>6.3964700000000017</v>
      </c>
      <c r="U74" s="32">
        <f t="shared" si="63"/>
        <v>4.3797618818166538E-2</v>
      </c>
      <c r="V74" s="32">
        <f t="shared" si="64"/>
        <v>6.5278628564545009</v>
      </c>
      <c r="W74" s="32">
        <f t="shared" si="65"/>
        <v>6.2650771435455024</v>
      </c>
      <c r="X74" s="32">
        <f t="shared" si="66"/>
        <v>6.4840652376363348</v>
      </c>
      <c r="Y74" s="32">
        <f t="shared" si="67"/>
        <v>6.3088747623636685</v>
      </c>
      <c r="Z74" s="32">
        <f t="shared" si="68"/>
        <v>6.4402676188181678</v>
      </c>
      <c r="AA74" s="32">
        <f t="shared" si="69"/>
        <v>6.3526723811818355</v>
      </c>
      <c r="AB74" s="33">
        <f t="shared" ref="AB74:AB137" si="89">ABS(S73-S74)</f>
        <v>8.9999999999999858E-2</v>
      </c>
      <c r="AC74" s="34">
        <f t="shared" ref="AC74:AC137" si="90">$AC$8</f>
        <v>4.2444444444444479E-2</v>
      </c>
      <c r="AD74" s="33">
        <f t="shared" ref="AD74:AD137" si="91">$AD$8</f>
        <v>0</v>
      </c>
      <c r="AE74" s="34">
        <f t="shared" ref="AE74:AE137" si="92">$AE$8</f>
        <v>0.13873391111111122</v>
      </c>
      <c r="AI74" s="16">
        <v>67</v>
      </c>
      <c r="AJ74" s="84">
        <v>25.79</v>
      </c>
      <c r="AK74" s="32">
        <f t="shared" si="70"/>
        <v>25.808199999999989</v>
      </c>
      <c r="AL74" s="32">
        <f t="shared" si="71"/>
        <v>7.4500084739969288E-2</v>
      </c>
      <c r="AM74" s="32">
        <f t="shared" si="72"/>
        <v>26.031700254219896</v>
      </c>
      <c r="AN74" s="32">
        <f t="shared" si="73"/>
        <v>25.584699745780082</v>
      </c>
      <c r="AO74" s="32">
        <f t="shared" si="74"/>
        <v>25.957200169479929</v>
      </c>
      <c r="AP74" s="32">
        <f t="shared" si="75"/>
        <v>25.659199830520048</v>
      </c>
      <c r="AQ74" s="32">
        <f t="shared" si="76"/>
        <v>25.882700084739959</v>
      </c>
      <c r="AR74" s="32">
        <f t="shared" si="77"/>
        <v>25.733699915260019</v>
      </c>
      <c r="AS74" s="33">
        <f t="shared" ref="AS74:AS136" si="93">ABS(AJ73-AJ74)</f>
        <v>3.0000000000001137E-2</v>
      </c>
      <c r="AT74" s="34">
        <f t="shared" ref="AT74:AT137" si="94">$AT$8</f>
        <v>6.6666666666666249E-2</v>
      </c>
      <c r="AU74" s="34">
        <f t="shared" ref="AU74:AU137" si="95">$AU$8</f>
        <v>0</v>
      </c>
      <c r="AV74" s="34">
        <f t="shared" ref="AV74:AV137" si="96">$AV$8</f>
        <v>0.21790666666666531</v>
      </c>
      <c r="AZ74" s="16">
        <v>67</v>
      </c>
      <c r="BA74" s="35">
        <v>25.83</v>
      </c>
      <c r="BB74" s="32">
        <f t="shared" si="78"/>
        <v>25.750800000000005</v>
      </c>
      <c r="BC74" s="32">
        <f t="shared" si="79"/>
        <v>5.7272695206019339E-2</v>
      </c>
      <c r="BD74" s="32">
        <f t="shared" si="80"/>
        <v>25.922618085618062</v>
      </c>
      <c r="BE74" s="32">
        <f t="shared" si="81"/>
        <v>25.578981914381949</v>
      </c>
      <c r="BF74" s="32">
        <f t="shared" si="82"/>
        <v>25.865345390412045</v>
      </c>
      <c r="BG74" s="32">
        <f t="shared" si="83"/>
        <v>25.636254609587965</v>
      </c>
      <c r="BH74" s="32">
        <f t="shared" si="84"/>
        <v>25.808072695206025</v>
      </c>
      <c r="BI74" s="32">
        <f t="shared" si="85"/>
        <v>25.693527304793985</v>
      </c>
      <c r="BJ74" s="33">
        <f t="shared" si="53"/>
        <v>2.9999999999997584E-2</v>
      </c>
      <c r="BK74" s="34">
        <f t="shared" ref="BK74:BK137" si="97">$BK$8</f>
        <v>3.6565656565656614E-2</v>
      </c>
      <c r="BL74" s="34">
        <f t="shared" ref="BL74:BL137" si="98">$BL$8</f>
        <v>0</v>
      </c>
      <c r="BM74" s="34">
        <f t="shared" ref="BM74:BM137" si="99">$BM$8</f>
        <v>0.11951850505050521</v>
      </c>
      <c r="BQ74" s="22">
        <v>67</v>
      </c>
      <c r="BR74" s="121" t="str">
        <f>IF(ISBLANK(Datos!B69),"",(ABS(Datos!B68-Datos!B69)))</f>
        <v/>
      </c>
      <c r="BS74" s="121" t="str">
        <f>IF(ISBLANK(Datos!C69),"",(ABS(Datos!C68-Datos!C69)))</f>
        <v/>
      </c>
      <c r="BT74" s="121" t="str">
        <f>IF(ISBLANK(Datos!D69),"",(ABS(Datos!D68-Datos!D69)))</f>
        <v/>
      </c>
      <c r="BU74" s="21" t="str">
        <f>IF(ISBLANK(Datos!E69),"",(ABS(Datos!E68-Datos!E69)))</f>
        <v/>
      </c>
    </row>
    <row r="75" spans="1:73" x14ac:dyDescent="0.3">
      <c r="A75" s="16">
        <v>68</v>
      </c>
      <c r="B75" s="35"/>
      <c r="C75" s="32" t="e">
        <f t="shared" si="54"/>
        <v>#DIV/0!</v>
      </c>
      <c r="D75" s="32" t="e">
        <f t="shared" si="55"/>
        <v>#DIV/0!</v>
      </c>
      <c r="E75" s="32" t="e">
        <f t="shared" si="56"/>
        <v>#DIV/0!</v>
      </c>
      <c r="F75" s="32" t="e">
        <f t="shared" si="57"/>
        <v>#DIV/0!</v>
      </c>
      <c r="G75" s="32" t="e">
        <f t="shared" si="58"/>
        <v>#DIV/0!</v>
      </c>
      <c r="H75" s="32" t="e">
        <f t="shared" si="59"/>
        <v>#DIV/0!</v>
      </c>
      <c r="I75" s="32" t="e">
        <f t="shared" si="60"/>
        <v>#DIV/0!</v>
      </c>
      <c r="J75" s="32" t="e">
        <f t="shared" si="61"/>
        <v>#DIV/0!</v>
      </c>
      <c r="K75" s="33">
        <f t="shared" si="52"/>
        <v>0</v>
      </c>
      <c r="L75" s="34">
        <f t="shared" si="86"/>
        <v>0</v>
      </c>
      <c r="M75" s="33">
        <f t="shared" si="87"/>
        <v>0</v>
      </c>
      <c r="N75" s="34">
        <f t="shared" si="88"/>
        <v>0</v>
      </c>
      <c r="R75" s="16">
        <v>68</v>
      </c>
      <c r="S75" s="35">
        <v>6.45</v>
      </c>
      <c r="T75" s="32">
        <f t="shared" si="62"/>
        <v>6.3964700000000017</v>
      </c>
      <c r="U75" s="32">
        <f t="shared" si="63"/>
        <v>4.3797618818166538E-2</v>
      </c>
      <c r="V75" s="32">
        <f t="shared" si="64"/>
        <v>6.5278628564545009</v>
      </c>
      <c r="W75" s="32">
        <f t="shared" si="65"/>
        <v>6.2650771435455024</v>
      </c>
      <c r="X75" s="32">
        <f t="shared" si="66"/>
        <v>6.4840652376363348</v>
      </c>
      <c r="Y75" s="32">
        <f t="shared" si="67"/>
        <v>6.3088747623636685</v>
      </c>
      <c r="Z75" s="32">
        <f t="shared" si="68"/>
        <v>6.4402676188181678</v>
      </c>
      <c r="AA75" s="32">
        <f t="shared" si="69"/>
        <v>6.3526723811818355</v>
      </c>
      <c r="AB75" s="33">
        <f t="shared" si="89"/>
        <v>8.9999999999999858E-2</v>
      </c>
      <c r="AC75" s="34">
        <f t="shared" si="90"/>
        <v>4.2444444444444479E-2</v>
      </c>
      <c r="AD75" s="33">
        <f t="shared" si="91"/>
        <v>0</v>
      </c>
      <c r="AE75" s="34">
        <f t="shared" si="92"/>
        <v>0.13873391111111122</v>
      </c>
      <c r="AI75" s="16">
        <v>68</v>
      </c>
      <c r="AJ75" s="84">
        <v>25.73</v>
      </c>
      <c r="AK75" s="32">
        <f t="shared" si="70"/>
        <v>25.808199999999989</v>
      </c>
      <c r="AL75" s="32">
        <f t="shared" si="71"/>
        <v>7.4500084739969288E-2</v>
      </c>
      <c r="AM75" s="32">
        <f t="shared" si="72"/>
        <v>26.031700254219896</v>
      </c>
      <c r="AN75" s="32">
        <f t="shared" si="73"/>
        <v>25.584699745780082</v>
      </c>
      <c r="AO75" s="32">
        <f t="shared" si="74"/>
        <v>25.957200169479929</v>
      </c>
      <c r="AP75" s="32">
        <f t="shared" si="75"/>
        <v>25.659199830520048</v>
      </c>
      <c r="AQ75" s="32">
        <f t="shared" si="76"/>
        <v>25.882700084739959</v>
      </c>
      <c r="AR75" s="32">
        <f t="shared" si="77"/>
        <v>25.733699915260019</v>
      </c>
      <c r="AS75" s="33">
        <f t="shared" si="93"/>
        <v>5.9999999999998721E-2</v>
      </c>
      <c r="AT75" s="34">
        <f t="shared" si="94"/>
        <v>6.6666666666666249E-2</v>
      </c>
      <c r="AU75" s="34">
        <f t="shared" si="95"/>
        <v>0</v>
      </c>
      <c r="AV75" s="34">
        <f t="shared" si="96"/>
        <v>0.21790666666666531</v>
      </c>
      <c r="AZ75" s="16">
        <v>68</v>
      </c>
      <c r="BA75" s="35">
        <v>25.79</v>
      </c>
      <c r="BB75" s="32">
        <f t="shared" si="78"/>
        <v>25.750800000000005</v>
      </c>
      <c r="BC75" s="32">
        <f t="shared" si="79"/>
        <v>5.7272695206019339E-2</v>
      </c>
      <c r="BD75" s="32">
        <f t="shared" si="80"/>
        <v>25.922618085618062</v>
      </c>
      <c r="BE75" s="32">
        <f t="shared" si="81"/>
        <v>25.578981914381949</v>
      </c>
      <c r="BF75" s="32">
        <f t="shared" si="82"/>
        <v>25.865345390412045</v>
      </c>
      <c r="BG75" s="32">
        <f t="shared" si="83"/>
        <v>25.636254609587965</v>
      </c>
      <c r="BH75" s="32">
        <f t="shared" si="84"/>
        <v>25.808072695206025</v>
      </c>
      <c r="BI75" s="32">
        <f t="shared" si="85"/>
        <v>25.693527304793985</v>
      </c>
      <c r="BJ75" s="33">
        <f t="shared" si="53"/>
        <v>3.9999999999999147E-2</v>
      </c>
      <c r="BK75" s="34">
        <f t="shared" si="97"/>
        <v>3.6565656565656614E-2</v>
      </c>
      <c r="BL75" s="34">
        <f t="shared" si="98"/>
        <v>0</v>
      </c>
      <c r="BM75" s="34">
        <f t="shared" si="99"/>
        <v>0.11951850505050521</v>
      </c>
      <c r="BQ75" s="22">
        <v>68</v>
      </c>
      <c r="BR75" s="121" t="str">
        <f>IF(ISBLANK(Datos!B70),"",(ABS(Datos!B69-Datos!B70)))</f>
        <v/>
      </c>
      <c r="BS75" s="121" t="str">
        <f>IF(ISBLANK(Datos!C70),"",(ABS(Datos!C69-Datos!C70)))</f>
        <v/>
      </c>
      <c r="BT75" s="121" t="str">
        <f>IF(ISBLANK(Datos!D70),"",(ABS(Datos!D69-Datos!D70)))</f>
        <v/>
      </c>
      <c r="BU75" s="21" t="str">
        <f>IF(ISBLANK(Datos!E70),"",(ABS(Datos!E69-Datos!E70)))</f>
        <v/>
      </c>
    </row>
    <row r="76" spans="1:73" x14ac:dyDescent="0.3">
      <c r="A76" s="16">
        <v>69</v>
      </c>
      <c r="B76" s="35"/>
      <c r="C76" s="32" t="e">
        <f t="shared" si="54"/>
        <v>#DIV/0!</v>
      </c>
      <c r="D76" s="32" t="e">
        <f t="shared" si="55"/>
        <v>#DIV/0!</v>
      </c>
      <c r="E76" s="32" t="e">
        <f t="shared" si="56"/>
        <v>#DIV/0!</v>
      </c>
      <c r="F76" s="32" t="e">
        <f t="shared" si="57"/>
        <v>#DIV/0!</v>
      </c>
      <c r="G76" s="32" t="e">
        <f t="shared" si="58"/>
        <v>#DIV/0!</v>
      </c>
      <c r="H76" s="32" t="e">
        <f t="shared" si="59"/>
        <v>#DIV/0!</v>
      </c>
      <c r="I76" s="32" t="e">
        <f t="shared" si="60"/>
        <v>#DIV/0!</v>
      </c>
      <c r="J76" s="32" t="e">
        <f t="shared" si="61"/>
        <v>#DIV/0!</v>
      </c>
      <c r="K76" s="33">
        <f t="shared" si="52"/>
        <v>0</v>
      </c>
      <c r="L76" s="34">
        <f t="shared" si="86"/>
        <v>0</v>
      </c>
      <c r="M76" s="33">
        <f t="shared" si="87"/>
        <v>0</v>
      </c>
      <c r="N76" s="34">
        <f t="shared" si="88"/>
        <v>0</v>
      </c>
      <c r="R76" s="16">
        <v>69</v>
      </c>
      <c r="S76" s="35">
        <v>6.35</v>
      </c>
      <c r="T76" s="32">
        <f t="shared" si="62"/>
        <v>6.3964700000000017</v>
      </c>
      <c r="U76" s="32">
        <f t="shared" si="63"/>
        <v>4.3797618818166538E-2</v>
      </c>
      <c r="V76" s="32">
        <f t="shared" si="64"/>
        <v>6.5278628564545009</v>
      </c>
      <c r="W76" s="32">
        <f t="shared" si="65"/>
        <v>6.2650771435455024</v>
      </c>
      <c r="X76" s="32">
        <f t="shared" si="66"/>
        <v>6.4840652376363348</v>
      </c>
      <c r="Y76" s="32">
        <f t="shared" si="67"/>
        <v>6.3088747623636685</v>
      </c>
      <c r="Z76" s="32">
        <f t="shared" si="68"/>
        <v>6.4402676188181678</v>
      </c>
      <c r="AA76" s="32">
        <f t="shared" si="69"/>
        <v>6.3526723811818355</v>
      </c>
      <c r="AB76" s="33">
        <f t="shared" si="89"/>
        <v>0.10000000000000053</v>
      </c>
      <c r="AC76" s="34">
        <f t="shared" si="90"/>
        <v>4.2444444444444479E-2</v>
      </c>
      <c r="AD76" s="33">
        <f t="shared" si="91"/>
        <v>0</v>
      </c>
      <c r="AE76" s="34">
        <f t="shared" si="92"/>
        <v>0.13873391111111122</v>
      </c>
      <c r="AI76" s="16">
        <v>69</v>
      </c>
      <c r="AJ76" s="84">
        <v>25.81</v>
      </c>
      <c r="AK76" s="32">
        <f t="shared" si="70"/>
        <v>25.808199999999989</v>
      </c>
      <c r="AL76" s="32">
        <f t="shared" si="71"/>
        <v>7.4500084739969288E-2</v>
      </c>
      <c r="AM76" s="32">
        <f t="shared" si="72"/>
        <v>26.031700254219896</v>
      </c>
      <c r="AN76" s="32">
        <f t="shared" si="73"/>
        <v>25.584699745780082</v>
      </c>
      <c r="AO76" s="32">
        <f t="shared" si="74"/>
        <v>25.957200169479929</v>
      </c>
      <c r="AP76" s="32">
        <f t="shared" si="75"/>
        <v>25.659199830520048</v>
      </c>
      <c r="AQ76" s="32">
        <f t="shared" si="76"/>
        <v>25.882700084739959</v>
      </c>
      <c r="AR76" s="32">
        <f t="shared" si="77"/>
        <v>25.733699915260019</v>
      </c>
      <c r="AS76" s="33">
        <f t="shared" si="93"/>
        <v>7.9999999999998295E-2</v>
      </c>
      <c r="AT76" s="34">
        <f t="shared" si="94"/>
        <v>6.6666666666666249E-2</v>
      </c>
      <c r="AU76" s="34">
        <f t="shared" si="95"/>
        <v>0</v>
      </c>
      <c r="AV76" s="34">
        <f t="shared" si="96"/>
        <v>0.21790666666666531</v>
      </c>
      <c r="AZ76" s="16">
        <v>69</v>
      </c>
      <c r="BA76" s="35">
        <v>25.77</v>
      </c>
      <c r="BB76" s="32">
        <f t="shared" si="78"/>
        <v>25.750800000000005</v>
      </c>
      <c r="BC76" s="32">
        <f t="shared" si="79"/>
        <v>5.7272695206019339E-2</v>
      </c>
      <c r="BD76" s="32">
        <f t="shared" si="80"/>
        <v>25.922618085618062</v>
      </c>
      <c r="BE76" s="32">
        <f t="shared" si="81"/>
        <v>25.578981914381949</v>
      </c>
      <c r="BF76" s="32">
        <f t="shared" si="82"/>
        <v>25.865345390412045</v>
      </c>
      <c r="BG76" s="32">
        <f t="shared" si="83"/>
        <v>25.636254609587965</v>
      </c>
      <c r="BH76" s="32">
        <f t="shared" si="84"/>
        <v>25.808072695206025</v>
      </c>
      <c r="BI76" s="32">
        <f t="shared" si="85"/>
        <v>25.693527304793985</v>
      </c>
      <c r="BJ76" s="33">
        <f t="shared" si="53"/>
        <v>1.9999999999999574E-2</v>
      </c>
      <c r="BK76" s="34">
        <f t="shared" si="97"/>
        <v>3.6565656565656614E-2</v>
      </c>
      <c r="BL76" s="34">
        <f t="shared" si="98"/>
        <v>0</v>
      </c>
      <c r="BM76" s="34">
        <f t="shared" si="99"/>
        <v>0.11951850505050521</v>
      </c>
      <c r="BQ76" s="22">
        <v>69</v>
      </c>
      <c r="BR76" s="121" t="str">
        <f>IF(ISBLANK(Datos!B71),"",(ABS(Datos!B70-Datos!B71)))</f>
        <v/>
      </c>
      <c r="BS76" s="121" t="str">
        <f>IF(ISBLANK(Datos!C71),"",(ABS(Datos!C70-Datos!C71)))</f>
        <v/>
      </c>
      <c r="BT76" s="121" t="str">
        <f>IF(ISBLANK(Datos!D71),"",(ABS(Datos!D70-Datos!D71)))</f>
        <v/>
      </c>
      <c r="BU76" s="21" t="str">
        <f>IF(ISBLANK(Datos!E71),"",(ABS(Datos!E70-Datos!E71)))</f>
        <v/>
      </c>
    </row>
    <row r="77" spans="1:73" x14ac:dyDescent="0.3">
      <c r="A77" s="16">
        <v>70</v>
      </c>
      <c r="B77" s="35"/>
      <c r="C77" s="32" t="e">
        <f t="shared" si="54"/>
        <v>#DIV/0!</v>
      </c>
      <c r="D77" s="32" t="e">
        <f t="shared" si="55"/>
        <v>#DIV/0!</v>
      </c>
      <c r="E77" s="32" t="e">
        <f t="shared" si="56"/>
        <v>#DIV/0!</v>
      </c>
      <c r="F77" s="32" t="e">
        <f t="shared" si="57"/>
        <v>#DIV/0!</v>
      </c>
      <c r="G77" s="32" t="e">
        <f t="shared" si="58"/>
        <v>#DIV/0!</v>
      </c>
      <c r="H77" s="32" t="e">
        <f t="shared" si="59"/>
        <v>#DIV/0!</v>
      </c>
      <c r="I77" s="32" t="e">
        <f t="shared" si="60"/>
        <v>#DIV/0!</v>
      </c>
      <c r="J77" s="32" t="e">
        <f t="shared" si="61"/>
        <v>#DIV/0!</v>
      </c>
      <c r="K77" s="33">
        <f t="shared" si="52"/>
        <v>0</v>
      </c>
      <c r="L77" s="34">
        <f t="shared" si="86"/>
        <v>0</v>
      </c>
      <c r="M77" s="33">
        <f t="shared" si="87"/>
        <v>0</v>
      </c>
      <c r="N77" s="34">
        <f t="shared" si="88"/>
        <v>0</v>
      </c>
      <c r="R77" s="16">
        <v>70</v>
      </c>
      <c r="S77" s="35">
        <v>6.38</v>
      </c>
      <c r="T77" s="32">
        <f t="shared" si="62"/>
        <v>6.3964700000000017</v>
      </c>
      <c r="U77" s="32">
        <f t="shared" si="63"/>
        <v>4.3797618818166538E-2</v>
      </c>
      <c r="V77" s="32">
        <f t="shared" si="64"/>
        <v>6.5278628564545009</v>
      </c>
      <c r="W77" s="32">
        <f t="shared" si="65"/>
        <v>6.2650771435455024</v>
      </c>
      <c r="X77" s="32">
        <f t="shared" si="66"/>
        <v>6.4840652376363348</v>
      </c>
      <c r="Y77" s="32">
        <f t="shared" si="67"/>
        <v>6.3088747623636685</v>
      </c>
      <c r="Z77" s="32">
        <f t="shared" si="68"/>
        <v>6.4402676188181678</v>
      </c>
      <c r="AA77" s="32">
        <f t="shared" si="69"/>
        <v>6.3526723811818355</v>
      </c>
      <c r="AB77" s="33">
        <f t="shared" si="89"/>
        <v>3.0000000000000249E-2</v>
      </c>
      <c r="AC77" s="34">
        <f t="shared" si="90"/>
        <v>4.2444444444444479E-2</v>
      </c>
      <c r="AD77" s="33">
        <f t="shared" si="91"/>
        <v>0</v>
      </c>
      <c r="AE77" s="34">
        <f t="shared" si="92"/>
        <v>0.13873391111111122</v>
      </c>
      <c r="AI77" s="16">
        <v>70</v>
      </c>
      <c r="AJ77" s="84">
        <v>25.82</v>
      </c>
      <c r="AK77" s="32">
        <f t="shared" si="70"/>
        <v>25.808199999999989</v>
      </c>
      <c r="AL77" s="32">
        <f t="shared" si="71"/>
        <v>7.4500084739969288E-2</v>
      </c>
      <c r="AM77" s="32">
        <f t="shared" si="72"/>
        <v>26.031700254219896</v>
      </c>
      <c r="AN77" s="32">
        <f t="shared" si="73"/>
        <v>25.584699745780082</v>
      </c>
      <c r="AO77" s="32">
        <f t="shared" si="74"/>
        <v>25.957200169479929</v>
      </c>
      <c r="AP77" s="32">
        <f t="shared" si="75"/>
        <v>25.659199830520048</v>
      </c>
      <c r="AQ77" s="32">
        <f t="shared" si="76"/>
        <v>25.882700084739959</v>
      </c>
      <c r="AR77" s="32">
        <f t="shared" si="77"/>
        <v>25.733699915260019</v>
      </c>
      <c r="AS77" s="33">
        <f t="shared" si="93"/>
        <v>1.0000000000001563E-2</v>
      </c>
      <c r="AT77" s="34">
        <f t="shared" si="94"/>
        <v>6.6666666666666249E-2</v>
      </c>
      <c r="AU77" s="34">
        <f t="shared" si="95"/>
        <v>0</v>
      </c>
      <c r="AV77" s="34">
        <f t="shared" si="96"/>
        <v>0.21790666666666531</v>
      </c>
      <c r="AZ77" s="16">
        <v>70</v>
      </c>
      <c r="BA77" s="35">
        <v>25.78</v>
      </c>
      <c r="BB77" s="32">
        <f t="shared" si="78"/>
        <v>25.750800000000005</v>
      </c>
      <c r="BC77" s="32">
        <f t="shared" si="79"/>
        <v>5.7272695206019339E-2</v>
      </c>
      <c r="BD77" s="32">
        <f t="shared" si="80"/>
        <v>25.922618085618062</v>
      </c>
      <c r="BE77" s="32">
        <f t="shared" si="81"/>
        <v>25.578981914381949</v>
      </c>
      <c r="BF77" s="32">
        <f t="shared" si="82"/>
        <v>25.865345390412045</v>
      </c>
      <c r="BG77" s="32">
        <f t="shared" si="83"/>
        <v>25.636254609587965</v>
      </c>
      <c r="BH77" s="32">
        <f t="shared" si="84"/>
        <v>25.808072695206025</v>
      </c>
      <c r="BI77" s="32">
        <f t="shared" si="85"/>
        <v>25.693527304793985</v>
      </c>
      <c r="BJ77" s="33">
        <f t="shared" si="53"/>
        <v>1.0000000000001563E-2</v>
      </c>
      <c r="BK77" s="34">
        <f t="shared" si="97"/>
        <v>3.6565656565656614E-2</v>
      </c>
      <c r="BL77" s="34">
        <f t="shared" si="98"/>
        <v>0</v>
      </c>
      <c r="BM77" s="34">
        <f t="shared" si="99"/>
        <v>0.11951850505050521</v>
      </c>
      <c r="BQ77" s="22">
        <v>70</v>
      </c>
      <c r="BR77" s="121" t="str">
        <f>IF(ISBLANK(Datos!B72),"",(ABS(Datos!B71-Datos!B72)))</f>
        <v/>
      </c>
      <c r="BS77" s="121" t="str">
        <f>IF(ISBLANK(Datos!C72),"",(ABS(Datos!C71-Datos!C72)))</f>
        <v/>
      </c>
      <c r="BT77" s="121" t="str">
        <f>IF(ISBLANK(Datos!D72),"",(ABS(Datos!D71-Datos!D72)))</f>
        <v/>
      </c>
      <c r="BU77" s="21" t="str">
        <f>IF(ISBLANK(Datos!E72),"",(ABS(Datos!E71-Datos!E72)))</f>
        <v/>
      </c>
    </row>
    <row r="78" spans="1:73" x14ac:dyDescent="0.3">
      <c r="A78" s="16">
        <v>71</v>
      </c>
      <c r="B78" s="35"/>
      <c r="C78" s="32" t="e">
        <f t="shared" si="54"/>
        <v>#DIV/0!</v>
      </c>
      <c r="D78" s="32" t="e">
        <f t="shared" si="55"/>
        <v>#DIV/0!</v>
      </c>
      <c r="E78" s="32" t="e">
        <f t="shared" si="56"/>
        <v>#DIV/0!</v>
      </c>
      <c r="F78" s="32" t="e">
        <f t="shared" si="57"/>
        <v>#DIV/0!</v>
      </c>
      <c r="G78" s="32" t="e">
        <f t="shared" si="58"/>
        <v>#DIV/0!</v>
      </c>
      <c r="H78" s="32" t="e">
        <f t="shared" si="59"/>
        <v>#DIV/0!</v>
      </c>
      <c r="I78" s="32" t="e">
        <f t="shared" si="60"/>
        <v>#DIV/0!</v>
      </c>
      <c r="J78" s="32" t="e">
        <f t="shared" si="61"/>
        <v>#DIV/0!</v>
      </c>
      <c r="K78" s="33">
        <f t="shared" si="52"/>
        <v>0</v>
      </c>
      <c r="L78" s="34">
        <f t="shared" si="86"/>
        <v>0</v>
      </c>
      <c r="M78" s="33">
        <f t="shared" si="87"/>
        <v>0</v>
      </c>
      <c r="N78" s="34">
        <f t="shared" si="88"/>
        <v>0</v>
      </c>
      <c r="R78" s="16">
        <v>71</v>
      </c>
      <c r="S78" s="35">
        <v>6.3209999999999997</v>
      </c>
      <c r="T78" s="32">
        <f t="shared" si="62"/>
        <v>6.3964700000000017</v>
      </c>
      <c r="U78" s="32">
        <f t="shared" si="63"/>
        <v>4.3797618818166538E-2</v>
      </c>
      <c r="V78" s="32">
        <f t="shared" si="64"/>
        <v>6.5278628564545009</v>
      </c>
      <c r="W78" s="32">
        <f t="shared" si="65"/>
        <v>6.2650771435455024</v>
      </c>
      <c r="X78" s="32">
        <f t="shared" si="66"/>
        <v>6.4840652376363348</v>
      </c>
      <c r="Y78" s="32">
        <f t="shared" si="67"/>
        <v>6.3088747623636685</v>
      </c>
      <c r="Z78" s="32">
        <f t="shared" si="68"/>
        <v>6.4402676188181678</v>
      </c>
      <c r="AA78" s="32">
        <f t="shared" si="69"/>
        <v>6.3526723811818355</v>
      </c>
      <c r="AB78" s="33">
        <f t="shared" si="89"/>
        <v>5.9000000000000163E-2</v>
      </c>
      <c r="AC78" s="34">
        <f t="shared" si="90"/>
        <v>4.2444444444444479E-2</v>
      </c>
      <c r="AD78" s="33">
        <f t="shared" si="91"/>
        <v>0</v>
      </c>
      <c r="AE78" s="34">
        <f t="shared" si="92"/>
        <v>0.13873391111111122</v>
      </c>
      <c r="AI78" s="16">
        <v>71</v>
      </c>
      <c r="AJ78" s="84">
        <v>25.79</v>
      </c>
      <c r="AK78" s="32">
        <f t="shared" si="70"/>
        <v>25.808199999999989</v>
      </c>
      <c r="AL78" s="32">
        <f t="shared" si="71"/>
        <v>7.4500084739969288E-2</v>
      </c>
      <c r="AM78" s="32">
        <f t="shared" si="72"/>
        <v>26.031700254219896</v>
      </c>
      <c r="AN78" s="32">
        <f t="shared" si="73"/>
        <v>25.584699745780082</v>
      </c>
      <c r="AO78" s="32">
        <f t="shared" si="74"/>
        <v>25.957200169479929</v>
      </c>
      <c r="AP78" s="32">
        <f t="shared" si="75"/>
        <v>25.659199830520048</v>
      </c>
      <c r="AQ78" s="32">
        <f t="shared" si="76"/>
        <v>25.882700084739959</v>
      </c>
      <c r="AR78" s="32">
        <f t="shared" si="77"/>
        <v>25.733699915260019</v>
      </c>
      <c r="AS78" s="33">
        <f t="shared" si="93"/>
        <v>3.0000000000001137E-2</v>
      </c>
      <c r="AT78" s="34">
        <f t="shared" si="94"/>
        <v>6.6666666666666249E-2</v>
      </c>
      <c r="AU78" s="34">
        <f t="shared" si="95"/>
        <v>0</v>
      </c>
      <c r="AV78" s="34">
        <f t="shared" si="96"/>
        <v>0.21790666666666531</v>
      </c>
      <c r="AZ78" s="16">
        <v>71</v>
      </c>
      <c r="BA78" s="35">
        <v>25.78</v>
      </c>
      <c r="BB78" s="32">
        <f t="shared" si="78"/>
        <v>25.750800000000005</v>
      </c>
      <c r="BC78" s="32">
        <f t="shared" si="79"/>
        <v>5.7272695206019339E-2</v>
      </c>
      <c r="BD78" s="32">
        <f t="shared" si="80"/>
        <v>25.922618085618062</v>
      </c>
      <c r="BE78" s="32">
        <f t="shared" si="81"/>
        <v>25.578981914381949</v>
      </c>
      <c r="BF78" s="32">
        <f t="shared" si="82"/>
        <v>25.865345390412045</v>
      </c>
      <c r="BG78" s="32">
        <f t="shared" si="83"/>
        <v>25.636254609587965</v>
      </c>
      <c r="BH78" s="32">
        <f t="shared" si="84"/>
        <v>25.808072695206025</v>
      </c>
      <c r="BI78" s="32">
        <f t="shared" si="85"/>
        <v>25.693527304793985</v>
      </c>
      <c r="BJ78" s="33">
        <f t="shared" si="53"/>
        <v>0</v>
      </c>
      <c r="BK78" s="34">
        <f t="shared" si="97"/>
        <v>3.6565656565656614E-2</v>
      </c>
      <c r="BL78" s="34">
        <f t="shared" si="98"/>
        <v>0</v>
      </c>
      <c r="BM78" s="34">
        <f t="shared" si="99"/>
        <v>0.11951850505050521</v>
      </c>
      <c r="BQ78" s="22">
        <v>71</v>
      </c>
      <c r="BR78" s="121" t="str">
        <f>IF(ISBLANK(Datos!B73),"",(ABS(Datos!B72-Datos!B73)))</f>
        <v/>
      </c>
      <c r="BS78" s="121" t="str">
        <f>IF(ISBLANK(Datos!C73),"",(ABS(Datos!C72-Datos!C73)))</f>
        <v/>
      </c>
      <c r="BT78" s="121" t="str">
        <f>IF(ISBLANK(Datos!D73),"",(ABS(Datos!D72-Datos!D73)))</f>
        <v/>
      </c>
      <c r="BU78" s="21" t="str">
        <f>IF(ISBLANK(Datos!E73),"",(ABS(Datos!E72-Datos!E73)))</f>
        <v/>
      </c>
    </row>
    <row r="79" spans="1:73" x14ac:dyDescent="0.3">
      <c r="A79" s="16">
        <v>72</v>
      </c>
      <c r="B79" s="35"/>
      <c r="C79" s="32" t="e">
        <f t="shared" si="54"/>
        <v>#DIV/0!</v>
      </c>
      <c r="D79" s="32" t="e">
        <f t="shared" si="55"/>
        <v>#DIV/0!</v>
      </c>
      <c r="E79" s="32" t="e">
        <f t="shared" si="56"/>
        <v>#DIV/0!</v>
      </c>
      <c r="F79" s="32" t="e">
        <f t="shared" si="57"/>
        <v>#DIV/0!</v>
      </c>
      <c r="G79" s="32" t="e">
        <f t="shared" si="58"/>
        <v>#DIV/0!</v>
      </c>
      <c r="H79" s="32" t="e">
        <f t="shared" si="59"/>
        <v>#DIV/0!</v>
      </c>
      <c r="I79" s="32" t="e">
        <f t="shared" si="60"/>
        <v>#DIV/0!</v>
      </c>
      <c r="J79" s="32" t="e">
        <f t="shared" si="61"/>
        <v>#DIV/0!</v>
      </c>
      <c r="K79" s="33">
        <f t="shared" si="52"/>
        <v>0</v>
      </c>
      <c r="L79" s="34">
        <f t="shared" si="86"/>
        <v>0</v>
      </c>
      <c r="M79" s="33">
        <f t="shared" si="87"/>
        <v>0</v>
      </c>
      <c r="N79" s="34">
        <f t="shared" si="88"/>
        <v>0</v>
      </c>
      <c r="R79" s="16">
        <v>72</v>
      </c>
      <c r="S79" s="35">
        <v>6.41</v>
      </c>
      <c r="T79" s="32">
        <f t="shared" si="62"/>
        <v>6.3964700000000017</v>
      </c>
      <c r="U79" s="32">
        <f t="shared" si="63"/>
        <v>4.3797618818166538E-2</v>
      </c>
      <c r="V79" s="32">
        <f t="shared" si="64"/>
        <v>6.5278628564545009</v>
      </c>
      <c r="W79" s="32">
        <f t="shared" si="65"/>
        <v>6.2650771435455024</v>
      </c>
      <c r="X79" s="32">
        <f t="shared" si="66"/>
        <v>6.4840652376363348</v>
      </c>
      <c r="Y79" s="32">
        <f t="shared" si="67"/>
        <v>6.3088747623636685</v>
      </c>
      <c r="Z79" s="32">
        <f t="shared" si="68"/>
        <v>6.4402676188181678</v>
      </c>
      <c r="AA79" s="32">
        <f t="shared" si="69"/>
        <v>6.3526723811818355</v>
      </c>
      <c r="AB79" s="33">
        <f t="shared" si="89"/>
        <v>8.9000000000000412E-2</v>
      </c>
      <c r="AC79" s="34">
        <f t="shared" si="90"/>
        <v>4.2444444444444479E-2</v>
      </c>
      <c r="AD79" s="33">
        <f t="shared" si="91"/>
        <v>0</v>
      </c>
      <c r="AE79" s="34">
        <f t="shared" si="92"/>
        <v>0.13873391111111122</v>
      </c>
      <c r="AI79" s="16">
        <v>72</v>
      </c>
      <c r="AJ79" s="84">
        <v>25.82</v>
      </c>
      <c r="AK79" s="32">
        <f t="shared" si="70"/>
        <v>25.808199999999989</v>
      </c>
      <c r="AL79" s="32">
        <f t="shared" si="71"/>
        <v>7.4500084739969288E-2</v>
      </c>
      <c r="AM79" s="32">
        <f t="shared" si="72"/>
        <v>26.031700254219896</v>
      </c>
      <c r="AN79" s="32">
        <f t="shared" si="73"/>
        <v>25.584699745780082</v>
      </c>
      <c r="AO79" s="32">
        <f t="shared" si="74"/>
        <v>25.957200169479929</v>
      </c>
      <c r="AP79" s="32">
        <f t="shared" si="75"/>
        <v>25.659199830520048</v>
      </c>
      <c r="AQ79" s="32">
        <f t="shared" si="76"/>
        <v>25.882700084739959</v>
      </c>
      <c r="AR79" s="32">
        <f t="shared" si="77"/>
        <v>25.733699915260019</v>
      </c>
      <c r="AS79" s="33">
        <f t="shared" si="93"/>
        <v>3.0000000000001137E-2</v>
      </c>
      <c r="AT79" s="34">
        <f t="shared" si="94"/>
        <v>6.6666666666666249E-2</v>
      </c>
      <c r="AU79" s="34">
        <f t="shared" si="95"/>
        <v>0</v>
      </c>
      <c r="AV79" s="34">
        <f t="shared" si="96"/>
        <v>0.21790666666666531</v>
      </c>
      <c r="AZ79" s="16">
        <v>72</v>
      </c>
      <c r="BA79" s="35">
        <v>25.76</v>
      </c>
      <c r="BB79" s="32">
        <f t="shared" si="78"/>
        <v>25.750800000000005</v>
      </c>
      <c r="BC79" s="32">
        <f t="shared" si="79"/>
        <v>5.7272695206019339E-2</v>
      </c>
      <c r="BD79" s="32">
        <f t="shared" si="80"/>
        <v>25.922618085618062</v>
      </c>
      <c r="BE79" s="32">
        <f t="shared" si="81"/>
        <v>25.578981914381949</v>
      </c>
      <c r="BF79" s="32">
        <f t="shared" si="82"/>
        <v>25.865345390412045</v>
      </c>
      <c r="BG79" s="32">
        <f t="shared" si="83"/>
        <v>25.636254609587965</v>
      </c>
      <c r="BH79" s="32">
        <f t="shared" si="84"/>
        <v>25.808072695206025</v>
      </c>
      <c r="BI79" s="32">
        <f t="shared" si="85"/>
        <v>25.693527304793985</v>
      </c>
      <c r="BJ79" s="33">
        <f t="shared" si="53"/>
        <v>1.9999999999999574E-2</v>
      </c>
      <c r="BK79" s="34">
        <f t="shared" si="97"/>
        <v>3.6565656565656614E-2</v>
      </c>
      <c r="BL79" s="34">
        <f t="shared" si="98"/>
        <v>0</v>
      </c>
      <c r="BM79" s="34">
        <f t="shared" si="99"/>
        <v>0.11951850505050521</v>
      </c>
      <c r="BQ79" s="22">
        <v>72</v>
      </c>
      <c r="BR79" s="121" t="str">
        <f>IF(ISBLANK(Datos!B74),"",(ABS(Datos!B73-Datos!B74)))</f>
        <v/>
      </c>
      <c r="BS79" s="121" t="str">
        <f>IF(ISBLANK(Datos!C74),"",(ABS(Datos!C73-Datos!C74)))</f>
        <v/>
      </c>
      <c r="BT79" s="121" t="str">
        <f>IF(ISBLANK(Datos!D74),"",(ABS(Datos!D73-Datos!D74)))</f>
        <v/>
      </c>
      <c r="BU79" s="21" t="str">
        <f>IF(ISBLANK(Datos!E74),"",(ABS(Datos!E73-Datos!E74)))</f>
        <v/>
      </c>
    </row>
    <row r="80" spans="1:73" x14ac:dyDescent="0.3">
      <c r="A80" s="16">
        <v>73</v>
      </c>
      <c r="B80" s="35"/>
      <c r="C80" s="32" t="e">
        <f t="shared" si="54"/>
        <v>#DIV/0!</v>
      </c>
      <c r="D80" s="32" t="e">
        <f t="shared" si="55"/>
        <v>#DIV/0!</v>
      </c>
      <c r="E80" s="32" t="e">
        <f t="shared" si="56"/>
        <v>#DIV/0!</v>
      </c>
      <c r="F80" s="32" t="e">
        <f t="shared" si="57"/>
        <v>#DIV/0!</v>
      </c>
      <c r="G80" s="32" t="e">
        <f t="shared" si="58"/>
        <v>#DIV/0!</v>
      </c>
      <c r="H80" s="32" t="e">
        <f t="shared" si="59"/>
        <v>#DIV/0!</v>
      </c>
      <c r="I80" s="32" t="e">
        <f t="shared" si="60"/>
        <v>#DIV/0!</v>
      </c>
      <c r="J80" s="32" t="e">
        <f t="shared" si="61"/>
        <v>#DIV/0!</v>
      </c>
      <c r="K80" s="33">
        <f t="shared" si="52"/>
        <v>0</v>
      </c>
      <c r="L80" s="34">
        <f t="shared" si="86"/>
        <v>0</v>
      </c>
      <c r="M80" s="33">
        <f t="shared" si="87"/>
        <v>0</v>
      </c>
      <c r="N80" s="34">
        <f t="shared" si="88"/>
        <v>0</v>
      </c>
      <c r="R80" s="16">
        <v>73</v>
      </c>
      <c r="S80" s="35">
        <v>6.36</v>
      </c>
      <c r="T80" s="32">
        <f t="shared" si="62"/>
        <v>6.3964700000000017</v>
      </c>
      <c r="U80" s="32">
        <f t="shared" si="63"/>
        <v>4.3797618818166538E-2</v>
      </c>
      <c r="V80" s="32">
        <f t="shared" si="64"/>
        <v>6.5278628564545009</v>
      </c>
      <c r="W80" s="32">
        <f t="shared" si="65"/>
        <v>6.2650771435455024</v>
      </c>
      <c r="X80" s="32">
        <f t="shared" si="66"/>
        <v>6.4840652376363348</v>
      </c>
      <c r="Y80" s="32">
        <f t="shared" si="67"/>
        <v>6.3088747623636685</v>
      </c>
      <c r="Z80" s="32">
        <f t="shared" si="68"/>
        <v>6.4402676188181678</v>
      </c>
      <c r="AA80" s="32">
        <f t="shared" si="69"/>
        <v>6.3526723811818355</v>
      </c>
      <c r="AB80" s="33">
        <f t="shared" si="89"/>
        <v>4.9999999999999822E-2</v>
      </c>
      <c r="AC80" s="34">
        <f t="shared" si="90"/>
        <v>4.2444444444444479E-2</v>
      </c>
      <c r="AD80" s="33">
        <f t="shared" si="91"/>
        <v>0</v>
      </c>
      <c r="AE80" s="34">
        <f t="shared" si="92"/>
        <v>0.13873391111111122</v>
      </c>
      <c r="AI80" s="16">
        <v>73</v>
      </c>
      <c r="AJ80" s="84">
        <v>25.75</v>
      </c>
      <c r="AK80" s="32">
        <f t="shared" si="70"/>
        <v>25.808199999999989</v>
      </c>
      <c r="AL80" s="32">
        <f t="shared" si="71"/>
        <v>7.4500084739969288E-2</v>
      </c>
      <c r="AM80" s="32">
        <f t="shared" si="72"/>
        <v>26.031700254219896</v>
      </c>
      <c r="AN80" s="32">
        <f t="shared" si="73"/>
        <v>25.584699745780082</v>
      </c>
      <c r="AO80" s="32">
        <f t="shared" si="74"/>
        <v>25.957200169479929</v>
      </c>
      <c r="AP80" s="32">
        <f t="shared" si="75"/>
        <v>25.659199830520048</v>
      </c>
      <c r="AQ80" s="32">
        <f t="shared" si="76"/>
        <v>25.882700084739959</v>
      </c>
      <c r="AR80" s="32">
        <f t="shared" si="77"/>
        <v>25.733699915260019</v>
      </c>
      <c r="AS80" s="33">
        <f t="shared" si="93"/>
        <v>7.0000000000000284E-2</v>
      </c>
      <c r="AT80" s="34">
        <f t="shared" si="94"/>
        <v>6.6666666666666249E-2</v>
      </c>
      <c r="AU80" s="34">
        <f t="shared" si="95"/>
        <v>0</v>
      </c>
      <c r="AV80" s="34">
        <f t="shared" si="96"/>
        <v>0.21790666666666531</v>
      </c>
      <c r="AZ80" s="16">
        <v>73</v>
      </c>
      <c r="BA80" s="35">
        <v>25.79</v>
      </c>
      <c r="BB80" s="32">
        <f t="shared" si="78"/>
        <v>25.750800000000005</v>
      </c>
      <c r="BC80" s="32">
        <f t="shared" si="79"/>
        <v>5.7272695206019339E-2</v>
      </c>
      <c r="BD80" s="32">
        <f t="shared" si="80"/>
        <v>25.922618085618062</v>
      </c>
      <c r="BE80" s="32">
        <f t="shared" si="81"/>
        <v>25.578981914381949</v>
      </c>
      <c r="BF80" s="32">
        <f t="shared" si="82"/>
        <v>25.865345390412045</v>
      </c>
      <c r="BG80" s="32">
        <f t="shared" si="83"/>
        <v>25.636254609587965</v>
      </c>
      <c r="BH80" s="32">
        <f t="shared" si="84"/>
        <v>25.808072695206025</v>
      </c>
      <c r="BI80" s="32">
        <f t="shared" si="85"/>
        <v>25.693527304793985</v>
      </c>
      <c r="BJ80" s="33">
        <f t="shared" si="53"/>
        <v>2.9999999999997584E-2</v>
      </c>
      <c r="BK80" s="34">
        <f t="shared" si="97"/>
        <v>3.6565656565656614E-2</v>
      </c>
      <c r="BL80" s="34">
        <f t="shared" si="98"/>
        <v>0</v>
      </c>
      <c r="BM80" s="34">
        <f t="shared" si="99"/>
        <v>0.11951850505050521</v>
      </c>
      <c r="BQ80" s="22">
        <v>73</v>
      </c>
      <c r="BR80" s="121" t="str">
        <f>IF(ISBLANK(Datos!B75),"",(ABS(Datos!B74-Datos!B75)))</f>
        <v/>
      </c>
      <c r="BS80" s="121" t="str">
        <f>IF(ISBLANK(Datos!C75),"",(ABS(Datos!C74-Datos!C75)))</f>
        <v/>
      </c>
      <c r="BT80" s="121" t="str">
        <f>IF(ISBLANK(Datos!D75),"",(ABS(Datos!D74-Datos!D75)))</f>
        <v/>
      </c>
      <c r="BU80" s="21" t="str">
        <f>IF(ISBLANK(Datos!E75),"",(ABS(Datos!E74-Datos!E75)))</f>
        <v/>
      </c>
    </row>
    <row r="81" spans="1:73" x14ac:dyDescent="0.3">
      <c r="A81" s="16">
        <v>74</v>
      </c>
      <c r="B81" s="35"/>
      <c r="C81" s="32" t="e">
        <f t="shared" si="54"/>
        <v>#DIV/0!</v>
      </c>
      <c r="D81" s="32" t="e">
        <f t="shared" si="55"/>
        <v>#DIV/0!</v>
      </c>
      <c r="E81" s="32" t="e">
        <f t="shared" si="56"/>
        <v>#DIV/0!</v>
      </c>
      <c r="F81" s="32" t="e">
        <f t="shared" si="57"/>
        <v>#DIV/0!</v>
      </c>
      <c r="G81" s="32" t="e">
        <f t="shared" si="58"/>
        <v>#DIV/0!</v>
      </c>
      <c r="H81" s="32" t="e">
        <f t="shared" si="59"/>
        <v>#DIV/0!</v>
      </c>
      <c r="I81" s="32" t="e">
        <f t="shared" si="60"/>
        <v>#DIV/0!</v>
      </c>
      <c r="J81" s="32" t="e">
        <f t="shared" si="61"/>
        <v>#DIV/0!</v>
      </c>
      <c r="K81" s="33">
        <f t="shared" si="52"/>
        <v>0</v>
      </c>
      <c r="L81" s="34">
        <f t="shared" si="86"/>
        <v>0</v>
      </c>
      <c r="M81" s="33">
        <f t="shared" si="87"/>
        <v>0</v>
      </c>
      <c r="N81" s="34">
        <f t="shared" si="88"/>
        <v>0</v>
      </c>
      <c r="R81" s="16">
        <v>74</v>
      </c>
      <c r="S81" s="35">
        <v>6.35</v>
      </c>
      <c r="T81" s="32">
        <f t="shared" si="62"/>
        <v>6.3964700000000017</v>
      </c>
      <c r="U81" s="32">
        <f t="shared" si="63"/>
        <v>4.3797618818166538E-2</v>
      </c>
      <c r="V81" s="32">
        <f t="shared" si="64"/>
        <v>6.5278628564545009</v>
      </c>
      <c r="W81" s="32">
        <f t="shared" si="65"/>
        <v>6.2650771435455024</v>
      </c>
      <c r="X81" s="32">
        <f t="shared" si="66"/>
        <v>6.4840652376363348</v>
      </c>
      <c r="Y81" s="32">
        <f t="shared" si="67"/>
        <v>6.3088747623636685</v>
      </c>
      <c r="Z81" s="32">
        <f t="shared" si="68"/>
        <v>6.4402676188181678</v>
      </c>
      <c r="AA81" s="32">
        <f t="shared" si="69"/>
        <v>6.3526723811818355</v>
      </c>
      <c r="AB81" s="33">
        <f t="shared" si="89"/>
        <v>1.0000000000000675E-2</v>
      </c>
      <c r="AC81" s="34">
        <f t="shared" si="90"/>
        <v>4.2444444444444479E-2</v>
      </c>
      <c r="AD81" s="33">
        <f t="shared" si="91"/>
        <v>0</v>
      </c>
      <c r="AE81" s="34">
        <f t="shared" si="92"/>
        <v>0.13873391111111122</v>
      </c>
      <c r="AI81" s="16">
        <v>74</v>
      </c>
      <c r="AJ81" s="84">
        <v>25.8</v>
      </c>
      <c r="AK81" s="32">
        <f t="shared" si="70"/>
        <v>25.808199999999989</v>
      </c>
      <c r="AL81" s="32">
        <f t="shared" si="71"/>
        <v>7.4500084739969288E-2</v>
      </c>
      <c r="AM81" s="32">
        <f t="shared" si="72"/>
        <v>26.031700254219896</v>
      </c>
      <c r="AN81" s="32">
        <f t="shared" si="73"/>
        <v>25.584699745780082</v>
      </c>
      <c r="AO81" s="32">
        <f t="shared" si="74"/>
        <v>25.957200169479929</v>
      </c>
      <c r="AP81" s="32">
        <f t="shared" si="75"/>
        <v>25.659199830520048</v>
      </c>
      <c r="AQ81" s="32">
        <f t="shared" si="76"/>
        <v>25.882700084739959</v>
      </c>
      <c r="AR81" s="32">
        <f t="shared" si="77"/>
        <v>25.733699915260019</v>
      </c>
      <c r="AS81" s="33">
        <f t="shared" si="93"/>
        <v>5.0000000000000711E-2</v>
      </c>
      <c r="AT81" s="34">
        <f t="shared" si="94"/>
        <v>6.6666666666666249E-2</v>
      </c>
      <c r="AU81" s="34">
        <f t="shared" si="95"/>
        <v>0</v>
      </c>
      <c r="AV81" s="34">
        <f t="shared" si="96"/>
        <v>0.21790666666666531</v>
      </c>
      <c r="AZ81" s="16">
        <v>74</v>
      </c>
      <c r="BA81" s="35">
        <v>25.79</v>
      </c>
      <c r="BB81" s="32">
        <f t="shared" si="78"/>
        <v>25.750800000000005</v>
      </c>
      <c r="BC81" s="32">
        <f t="shared" si="79"/>
        <v>5.7272695206019339E-2</v>
      </c>
      <c r="BD81" s="32">
        <f t="shared" si="80"/>
        <v>25.922618085618062</v>
      </c>
      <c r="BE81" s="32">
        <f t="shared" si="81"/>
        <v>25.578981914381949</v>
      </c>
      <c r="BF81" s="32">
        <f t="shared" si="82"/>
        <v>25.865345390412045</v>
      </c>
      <c r="BG81" s="32">
        <f t="shared" si="83"/>
        <v>25.636254609587965</v>
      </c>
      <c r="BH81" s="32">
        <f t="shared" si="84"/>
        <v>25.808072695206025</v>
      </c>
      <c r="BI81" s="32">
        <f t="shared" si="85"/>
        <v>25.693527304793985</v>
      </c>
      <c r="BJ81" s="33">
        <f t="shared" si="53"/>
        <v>0</v>
      </c>
      <c r="BK81" s="34">
        <f t="shared" si="97"/>
        <v>3.6565656565656614E-2</v>
      </c>
      <c r="BL81" s="34">
        <f t="shared" si="98"/>
        <v>0</v>
      </c>
      <c r="BM81" s="34">
        <f t="shared" si="99"/>
        <v>0.11951850505050521</v>
      </c>
      <c r="BQ81" s="22">
        <v>74</v>
      </c>
      <c r="BR81" s="121" t="str">
        <f>IF(ISBLANK(Datos!B76),"",(ABS(Datos!B75-Datos!B76)))</f>
        <v/>
      </c>
      <c r="BS81" s="121" t="str">
        <f>IF(ISBLANK(Datos!C76),"",(ABS(Datos!C75-Datos!C76)))</f>
        <v/>
      </c>
      <c r="BT81" s="121" t="str">
        <f>IF(ISBLANK(Datos!D76),"",(ABS(Datos!D75-Datos!D76)))</f>
        <v/>
      </c>
      <c r="BU81" s="21" t="str">
        <f>IF(ISBLANK(Datos!E76),"",(ABS(Datos!E75-Datos!E76)))</f>
        <v/>
      </c>
    </row>
    <row r="82" spans="1:73" x14ac:dyDescent="0.3">
      <c r="A82" s="16">
        <v>75</v>
      </c>
      <c r="B82" s="35"/>
      <c r="C82" s="32" t="e">
        <f t="shared" si="54"/>
        <v>#DIV/0!</v>
      </c>
      <c r="D82" s="32" t="e">
        <f t="shared" si="55"/>
        <v>#DIV/0!</v>
      </c>
      <c r="E82" s="32" t="e">
        <f t="shared" si="56"/>
        <v>#DIV/0!</v>
      </c>
      <c r="F82" s="32" t="e">
        <f t="shared" si="57"/>
        <v>#DIV/0!</v>
      </c>
      <c r="G82" s="32" t="e">
        <f t="shared" si="58"/>
        <v>#DIV/0!</v>
      </c>
      <c r="H82" s="32" t="e">
        <f t="shared" si="59"/>
        <v>#DIV/0!</v>
      </c>
      <c r="I82" s="32" t="e">
        <f t="shared" si="60"/>
        <v>#DIV/0!</v>
      </c>
      <c r="J82" s="32" t="e">
        <f t="shared" si="61"/>
        <v>#DIV/0!</v>
      </c>
      <c r="K82" s="33">
        <f t="shared" si="52"/>
        <v>0</v>
      </c>
      <c r="L82" s="34">
        <f t="shared" si="86"/>
        <v>0</v>
      </c>
      <c r="M82" s="33">
        <f t="shared" si="87"/>
        <v>0</v>
      </c>
      <c r="N82" s="34">
        <f t="shared" si="88"/>
        <v>0</v>
      </c>
      <c r="R82" s="16">
        <v>75</v>
      </c>
      <c r="S82" s="35">
        <v>6.36</v>
      </c>
      <c r="T82" s="32">
        <f t="shared" si="62"/>
        <v>6.3964700000000017</v>
      </c>
      <c r="U82" s="32">
        <f t="shared" si="63"/>
        <v>4.3797618818166538E-2</v>
      </c>
      <c r="V82" s="32">
        <f t="shared" si="64"/>
        <v>6.5278628564545009</v>
      </c>
      <c r="W82" s="32">
        <f t="shared" si="65"/>
        <v>6.2650771435455024</v>
      </c>
      <c r="X82" s="32">
        <f t="shared" si="66"/>
        <v>6.4840652376363348</v>
      </c>
      <c r="Y82" s="32">
        <f t="shared" si="67"/>
        <v>6.3088747623636685</v>
      </c>
      <c r="Z82" s="32">
        <f t="shared" si="68"/>
        <v>6.4402676188181678</v>
      </c>
      <c r="AA82" s="32">
        <f t="shared" si="69"/>
        <v>6.3526723811818355</v>
      </c>
      <c r="AB82" s="33">
        <f t="shared" si="89"/>
        <v>1.0000000000000675E-2</v>
      </c>
      <c r="AC82" s="34">
        <f t="shared" si="90"/>
        <v>4.2444444444444479E-2</v>
      </c>
      <c r="AD82" s="33">
        <f t="shared" si="91"/>
        <v>0</v>
      </c>
      <c r="AE82" s="34">
        <f t="shared" si="92"/>
        <v>0.13873391111111122</v>
      </c>
      <c r="AI82" s="16">
        <v>75</v>
      </c>
      <c r="AJ82" s="84">
        <v>25.81</v>
      </c>
      <c r="AK82" s="32">
        <f t="shared" si="70"/>
        <v>25.808199999999989</v>
      </c>
      <c r="AL82" s="32">
        <f t="shared" si="71"/>
        <v>7.4500084739969288E-2</v>
      </c>
      <c r="AM82" s="32">
        <f t="shared" si="72"/>
        <v>26.031700254219896</v>
      </c>
      <c r="AN82" s="32">
        <f t="shared" si="73"/>
        <v>25.584699745780082</v>
      </c>
      <c r="AO82" s="32">
        <f t="shared" si="74"/>
        <v>25.957200169479929</v>
      </c>
      <c r="AP82" s="32">
        <f t="shared" si="75"/>
        <v>25.659199830520048</v>
      </c>
      <c r="AQ82" s="32">
        <f t="shared" si="76"/>
        <v>25.882700084739959</v>
      </c>
      <c r="AR82" s="32">
        <f t="shared" si="77"/>
        <v>25.733699915260019</v>
      </c>
      <c r="AS82" s="33">
        <f t="shared" si="93"/>
        <v>9.9999999999980105E-3</v>
      </c>
      <c r="AT82" s="34">
        <f t="shared" si="94"/>
        <v>6.6666666666666249E-2</v>
      </c>
      <c r="AU82" s="34">
        <f t="shared" si="95"/>
        <v>0</v>
      </c>
      <c r="AV82" s="34">
        <f t="shared" si="96"/>
        <v>0.21790666666666531</v>
      </c>
      <c r="AZ82" s="16">
        <v>75</v>
      </c>
      <c r="BA82" s="35">
        <v>25.72</v>
      </c>
      <c r="BB82" s="32">
        <f t="shared" si="78"/>
        <v>25.750800000000005</v>
      </c>
      <c r="BC82" s="32">
        <f t="shared" si="79"/>
        <v>5.7272695206019339E-2</v>
      </c>
      <c r="BD82" s="32">
        <f t="shared" si="80"/>
        <v>25.922618085618062</v>
      </c>
      <c r="BE82" s="32">
        <f t="shared" si="81"/>
        <v>25.578981914381949</v>
      </c>
      <c r="BF82" s="32">
        <f t="shared" si="82"/>
        <v>25.865345390412045</v>
      </c>
      <c r="BG82" s="32">
        <f t="shared" si="83"/>
        <v>25.636254609587965</v>
      </c>
      <c r="BH82" s="32">
        <f t="shared" si="84"/>
        <v>25.808072695206025</v>
      </c>
      <c r="BI82" s="32">
        <f t="shared" si="85"/>
        <v>25.693527304793985</v>
      </c>
      <c r="BJ82" s="33">
        <f t="shared" si="53"/>
        <v>7.0000000000000284E-2</v>
      </c>
      <c r="BK82" s="34">
        <f t="shared" si="97"/>
        <v>3.6565656565656614E-2</v>
      </c>
      <c r="BL82" s="34">
        <f t="shared" si="98"/>
        <v>0</v>
      </c>
      <c r="BM82" s="34">
        <f t="shared" si="99"/>
        <v>0.11951850505050521</v>
      </c>
      <c r="BQ82" s="22">
        <v>75</v>
      </c>
      <c r="BR82" s="121" t="str">
        <f>IF(ISBLANK(Datos!B77),"",(ABS(Datos!B76-Datos!B77)))</f>
        <v/>
      </c>
      <c r="BS82" s="121" t="str">
        <f>IF(ISBLANK(Datos!C77),"",(ABS(Datos!C76-Datos!C77)))</f>
        <v/>
      </c>
      <c r="BT82" s="121" t="str">
        <f>IF(ISBLANK(Datos!D77),"",(ABS(Datos!D76-Datos!D77)))</f>
        <v/>
      </c>
      <c r="BU82" s="21" t="str">
        <f>IF(ISBLANK(Datos!E77),"",(ABS(Datos!E76-Datos!E77)))</f>
        <v/>
      </c>
    </row>
    <row r="83" spans="1:73" x14ac:dyDescent="0.3">
      <c r="A83" s="16">
        <v>76</v>
      </c>
      <c r="B83" s="35"/>
      <c r="C83" s="32" t="e">
        <f t="shared" si="54"/>
        <v>#DIV/0!</v>
      </c>
      <c r="D83" s="32" t="e">
        <f t="shared" si="55"/>
        <v>#DIV/0!</v>
      </c>
      <c r="E83" s="32" t="e">
        <f t="shared" si="56"/>
        <v>#DIV/0!</v>
      </c>
      <c r="F83" s="32" t="e">
        <f t="shared" si="57"/>
        <v>#DIV/0!</v>
      </c>
      <c r="G83" s="32" t="e">
        <f t="shared" si="58"/>
        <v>#DIV/0!</v>
      </c>
      <c r="H83" s="32" t="e">
        <f t="shared" si="59"/>
        <v>#DIV/0!</v>
      </c>
      <c r="I83" s="32" t="e">
        <f t="shared" si="60"/>
        <v>#DIV/0!</v>
      </c>
      <c r="J83" s="32" t="e">
        <f t="shared" si="61"/>
        <v>#DIV/0!</v>
      </c>
      <c r="K83" s="33">
        <f t="shared" si="52"/>
        <v>0</v>
      </c>
      <c r="L83" s="34">
        <f t="shared" si="86"/>
        <v>0</v>
      </c>
      <c r="M83" s="33">
        <f t="shared" si="87"/>
        <v>0</v>
      </c>
      <c r="N83" s="34">
        <f t="shared" si="88"/>
        <v>0</v>
      </c>
      <c r="R83" s="16">
        <v>76</v>
      </c>
      <c r="S83" s="35">
        <v>6.36</v>
      </c>
      <c r="T83" s="32">
        <f t="shared" si="62"/>
        <v>6.3964700000000017</v>
      </c>
      <c r="U83" s="32">
        <f t="shared" si="63"/>
        <v>4.3797618818166538E-2</v>
      </c>
      <c r="V83" s="32">
        <f t="shared" si="64"/>
        <v>6.5278628564545009</v>
      </c>
      <c r="W83" s="32">
        <f t="shared" si="65"/>
        <v>6.2650771435455024</v>
      </c>
      <c r="X83" s="32">
        <f t="shared" si="66"/>
        <v>6.4840652376363348</v>
      </c>
      <c r="Y83" s="32">
        <f t="shared" si="67"/>
        <v>6.3088747623636685</v>
      </c>
      <c r="Z83" s="32">
        <f t="shared" si="68"/>
        <v>6.4402676188181678</v>
      </c>
      <c r="AA83" s="32">
        <f t="shared" si="69"/>
        <v>6.3526723811818355</v>
      </c>
      <c r="AB83" s="33">
        <f t="shared" si="89"/>
        <v>0</v>
      </c>
      <c r="AC83" s="34">
        <f t="shared" si="90"/>
        <v>4.2444444444444479E-2</v>
      </c>
      <c r="AD83" s="33">
        <f t="shared" si="91"/>
        <v>0</v>
      </c>
      <c r="AE83" s="34">
        <f t="shared" si="92"/>
        <v>0.13873391111111122</v>
      </c>
      <c r="AI83" s="16">
        <v>76</v>
      </c>
      <c r="AJ83" s="84">
        <v>25.77</v>
      </c>
      <c r="AK83" s="32">
        <f t="shared" si="70"/>
        <v>25.808199999999989</v>
      </c>
      <c r="AL83" s="32">
        <f t="shared" si="71"/>
        <v>7.4500084739969288E-2</v>
      </c>
      <c r="AM83" s="32">
        <f t="shared" si="72"/>
        <v>26.031700254219896</v>
      </c>
      <c r="AN83" s="32">
        <f t="shared" si="73"/>
        <v>25.584699745780082</v>
      </c>
      <c r="AO83" s="32">
        <f t="shared" si="74"/>
        <v>25.957200169479929</v>
      </c>
      <c r="AP83" s="32">
        <f t="shared" si="75"/>
        <v>25.659199830520048</v>
      </c>
      <c r="AQ83" s="32">
        <f t="shared" si="76"/>
        <v>25.882700084739959</v>
      </c>
      <c r="AR83" s="32">
        <f t="shared" si="77"/>
        <v>25.733699915260019</v>
      </c>
      <c r="AS83" s="33">
        <f t="shared" si="93"/>
        <v>3.9999999999999147E-2</v>
      </c>
      <c r="AT83" s="34">
        <f t="shared" si="94"/>
        <v>6.6666666666666249E-2</v>
      </c>
      <c r="AU83" s="34">
        <f t="shared" si="95"/>
        <v>0</v>
      </c>
      <c r="AV83" s="34">
        <f t="shared" si="96"/>
        <v>0.21790666666666531</v>
      </c>
      <c r="AZ83" s="16">
        <v>76</v>
      </c>
      <c r="BA83" s="35">
        <v>25.76</v>
      </c>
      <c r="BB83" s="32">
        <f t="shared" si="78"/>
        <v>25.750800000000005</v>
      </c>
      <c r="BC83" s="32">
        <f t="shared" si="79"/>
        <v>5.7272695206019339E-2</v>
      </c>
      <c r="BD83" s="32">
        <f t="shared" si="80"/>
        <v>25.922618085618062</v>
      </c>
      <c r="BE83" s="32">
        <f t="shared" si="81"/>
        <v>25.578981914381949</v>
      </c>
      <c r="BF83" s="32">
        <f t="shared" si="82"/>
        <v>25.865345390412045</v>
      </c>
      <c r="BG83" s="32">
        <f t="shared" si="83"/>
        <v>25.636254609587965</v>
      </c>
      <c r="BH83" s="32">
        <f t="shared" si="84"/>
        <v>25.808072695206025</v>
      </c>
      <c r="BI83" s="32">
        <f t="shared" si="85"/>
        <v>25.693527304793985</v>
      </c>
      <c r="BJ83" s="33">
        <f t="shared" si="53"/>
        <v>4.00000000000027E-2</v>
      </c>
      <c r="BK83" s="34">
        <f t="shared" si="97"/>
        <v>3.6565656565656614E-2</v>
      </c>
      <c r="BL83" s="34">
        <f t="shared" si="98"/>
        <v>0</v>
      </c>
      <c r="BM83" s="34">
        <f t="shared" si="99"/>
        <v>0.11951850505050521</v>
      </c>
      <c r="BQ83" s="22">
        <v>76</v>
      </c>
      <c r="BR83" s="121" t="str">
        <f>IF(ISBLANK(Datos!B78),"",(ABS(Datos!B77-Datos!B78)))</f>
        <v/>
      </c>
      <c r="BS83" s="121" t="str">
        <f>IF(ISBLANK(Datos!C78),"",(ABS(Datos!C77-Datos!C78)))</f>
        <v/>
      </c>
      <c r="BT83" s="121" t="str">
        <f>IF(ISBLANK(Datos!D78),"",(ABS(Datos!D77-Datos!D78)))</f>
        <v/>
      </c>
      <c r="BU83" s="21" t="str">
        <f>IF(ISBLANK(Datos!E78),"",(ABS(Datos!E77-Datos!E78)))</f>
        <v/>
      </c>
    </row>
    <row r="84" spans="1:73" x14ac:dyDescent="0.3">
      <c r="A84" s="16">
        <v>77</v>
      </c>
      <c r="B84" s="35"/>
      <c r="C84" s="32" t="e">
        <f t="shared" si="54"/>
        <v>#DIV/0!</v>
      </c>
      <c r="D84" s="32" t="e">
        <f t="shared" si="55"/>
        <v>#DIV/0!</v>
      </c>
      <c r="E84" s="32" t="e">
        <f t="shared" si="56"/>
        <v>#DIV/0!</v>
      </c>
      <c r="F84" s="32" t="e">
        <f t="shared" si="57"/>
        <v>#DIV/0!</v>
      </c>
      <c r="G84" s="32" t="e">
        <f t="shared" si="58"/>
        <v>#DIV/0!</v>
      </c>
      <c r="H84" s="32" t="e">
        <f t="shared" si="59"/>
        <v>#DIV/0!</v>
      </c>
      <c r="I84" s="32" t="e">
        <f t="shared" si="60"/>
        <v>#DIV/0!</v>
      </c>
      <c r="J84" s="32" t="e">
        <f t="shared" si="61"/>
        <v>#DIV/0!</v>
      </c>
      <c r="K84" s="33">
        <f t="shared" si="52"/>
        <v>0</v>
      </c>
      <c r="L84" s="34">
        <f t="shared" si="86"/>
        <v>0</v>
      </c>
      <c r="M84" s="33">
        <f t="shared" si="87"/>
        <v>0</v>
      </c>
      <c r="N84" s="34">
        <f t="shared" si="88"/>
        <v>0</v>
      </c>
      <c r="R84" s="16">
        <v>77</v>
      </c>
      <c r="S84" s="35">
        <v>6.38</v>
      </c>
      <c r="T84" s="32">
        <f t="shared" si="62"/>
        <v>6.3964700000000017</v>
      </c>
      <c r="U84" s="32">
        <f t="shared" si="63"/>
        <v>4.3797618818166538E-2</v>
      </c>
      <c r="V84" s="32">
        <f t="shared" si="64"/>
        <v>6.5278628564545009</v>
      </c>
      <c r="W84" s="32">
        <f t="shared" si="65"/>
        <v>6.2650771435455024</v>
      </c>
      <c r="X84" s="32">
        <f t="shared" si="66"/>
        <v>6.4840652376363348</v>
      </c>
      <c r="Y84" s="32">
        <f t="shared" si="67"/>
        <v>6.3088747623636685</v>
      </c>
      <c r="Z84" s="32">
        <f t="shared" si="68"/>
        <v>6.4402676188181678</v>
      </c>
      <c r="AA84" s="32">
        <f t="shared" si="69"/>
        <v>6.3526723811818355</v>
      </c>
      <c r="AB84" s="33">
        <f t="shared" si="89"/>
        <v>1.9999999999999574E-2</v>
      </c>
      <c r="AC84" s="34">
        <f t="shared" si="90"/>
        <v>4.2444444444444479E-2</v>
      </c>
      <c r="AD84" s="33">
        <f t="shared" si="91"/>
        <v>0</v>
      </c>
      <c r="AE84" s="34">
        <f t="shared" si="92"/>
        <v>0.13873391111111122</v>
      </c>
      <c r="AI84" s="16">
        <v>77</v>
      </c>
      <c r="AJ84" s="84">
        <v>25.96</v>
      </c>
      <c r="AK84" s="32">
        <f t="shared" si="70"/>
        <v>25.808199999999989</v>
      </c>
      <c r="AL84" s="32">
        <f t="shared" si="71"/>
        <v>7.4500084739969288E-2</v>
      </c>
      <c r="AM84" s="32">
        <f t="shared" si="72"/>
        <v>26.031700254219896</v>
      </c>
      <c r="AN84" s="32">
        <f t="shared" si="73"/>
        <v>25.584699745780082</v>
      </c>
      <c r="AO84" s="32">
        <f t="shared" si="74"/>
        <v>25.957200169479929</v>
      </c>
      <c r="AP84" s="32">
        <f t="shared" si="75"/>
        <v>25.659199830520048</v>
      </c>
      <c r="AQ84" s="32">
        <f t="shared" si="76"/>
        <v>25.882700084739959</v>
      </c>
      <c r="AR84" s="32">
        <f t="shared" si="77"/>
        <v>25.733699915260019</v>
      </c>
      <c r="AS84" s="33">
        <f t="shared" si="93"/>
        <v>0.19000000000000128</v>
      </c>
      <c r="AT84" s="34">
        <f t="shared" si="94"/>
        <v>6.6666666666666249E-2</v>
      </c>
      <c r="AU84" s="34">
        <f t="shared" si="95"/>
        <v>0</v>
      </c>
      <c r="AV84" s="34">
        <f t="shared" si="96"/>
        <v>0.21790666666666531</v>
      </c>
      <c r="AZ84" s="16">
        <v>77</v>
      </c>
      <c r="BA84" s="35">
        <v>25.86</v>
      </c>
      <c r="BB84" s="32">
        <f t="shared" si="78"/>
        <v>25.750800000000005</v>
      </c>
      <c r="BC84" s="32">
        <f t="shared" si="79"/>
        <v>5.7272695206019339E-2</v>
      </c>
      <c r="BD84" s="32">
        <f t="shared" si="80"/>
        <v>25.922618085618062</v>
      </c>
      <c r="BE84" s="32">
        <f t="shared" si="81"/>
        <v>25.578981914381949</v>
      </c>
      <c r="BF84" s="32">
        <f t="shared" si="82"/>
        <v>25.865345390412045</v>
      </c>
      <c r="BG84" s="32">
        <f t="shared" si="83"/>
        <v>25.636254609587965</v>
      </c>
      <c r="BH84" s="32">
        <f t="shared" si="84"/>
        <v>25.808072695206025</v>
      </c>
      <c r="BI84" s="32">
        <f t="shared" si="85"/>
        <v>25.693527304793985</v>
      </c>
      <c r="BJ84" s="33">
        <f t="shared" si="53"/>
        <v>9.9999999999997868E-2</v>
      </c>
      <c r="BK84" s="34">
        <f t="shared" si="97"/>
        <v>3.6565656565656614E-2</v>
      </c>
      <c r="BL84" s="34">
        <f t="shared" si="98"/>
        <v>0</v>
      </c>
      <c r="BM84" s="34">
        <f t="shared" si="99"/>
        <v>0.11951850505050521</v>
      </c>
      <c r="BQ84" s="22">
        <v>77</v>
      </c>
      <c r="BR84" s="121" t="str">
        <f>IF(ISBLANK(Datos!B79),"",(ABS(Datos!B78-Datos!B79)))</f>
        <v/>
      </c>
      <c r="BS84" s="121" t="str">
        <f>IF(ISBLANK(Datos!C79),"",(ABS(Datos!C78-Datos!C79)))</f>
        <v/>
      </c>
      <c r="BT84" s="121" t="str">
        <f>IF(ISBLANK(Datos!D79),"",(ABS(Datos!D78-Datos!D79)))</f>
        <v/>
      </c>
      <c r="BU84" s="21" t="str">
        <f>IF(ISBLANK(Datos!E79),"",(ABS(Datos!E78-Datos!E79)))</f>
        <v/>
      </c>
    </row>
    <row r="85" spans="1:73" x14ac:dyDescent="0.3">
      <c r="A85" s="16">
        <v>78</v>
      </c>
      <c r="B85" s="35"/>
      <c r="C85" s="32" t="e">
        <f t="shared" si="54"/>
        <v>#DIV/0!</v>
      </c>
      <c r="D85" s="32" t="e">
        <f t="shared" si="55"/>
        <v>#DIV/0!</v>
      </c>
      <c r="E85" s="32" t="e">
        <f t="shared" si="56"/>
        <v>#DIV/0!</v>
      </c>
      <c r="F85" s="32" t="e">
        <f t="shared" si="57"/>
        <v>#DIV/0!</v>
      </c>
      <c r="G85" s="32" t="e">
        <f t="shared" si="58"/>
        <v>#DIV/0!</v>
      </c>
      <c r="H85" s="32" t="e">
        <f t="shared" si="59"/>
        <v>#DIV/0!</v>
      </c>
      <c r="I85" s="32" t="e">
        <f t="shared" si="60"/>
        <v>#DIV/0!</v>
      </c>
      <c r="J85" s="32" t="e">
        <f t="shared" si="61"/>
        <v>#DIV/0!</v>
      </c>
      <c r="K85" s="33">
        <f t="shared" si="52"/>
        <v>0</v>
      </c>
      <c r="L85" s="34">
        <f t="shared" si="86"/>
        <v>0</v>
      </c>
      <c r="M85" s="33">
        <f t="shared" si="87"/>
        <v>0</v>
      </c>
      <c r="N85" s="34">
        <f t="shared" si="88"/>
        <v>0</v>
      </c>
      <c r="R85" s="16">
        <v>78</v>
      </c>
      <c r="S85" s="35">
        <v>6.42</v>
      </c>
      <c r="T85" s="32">
        <f t="shared" si="62"/>
        <v>6.3964700000000017</v>
      </c>
      <c r="U85" s="32">
        <f t="shared" si="63"/>
        <v>4.3797618818166538E-2</v>
      </c>
      <c r="V85" s="32">
        <f t="shared" si="64"/>
        <v>6.5278628564545009</v>
      </c>
      <c r="W85" s="32">
        <f t="shared" si="65"/>
        <v>6.2650771435455024</v>
      </c>
      <c r="X85" s="32">
        <f t="shared" si="66"/>
        <v>6.4840652376363348</v>
      </c>
      <c r="Y85" s="32">
        <f t="shared" si="67"/>
        <v>6.3088747623636685</v>
      </c>
      <c r="Z85" s="32">
        <f t="shared" si="68"/>
        <v>6.4402676188181678</v>
      </c>
      <c r="AA85" s="32">
        <f t="shared" si="69"/>
        <v>6.3526723811818355</v>
      </c>
      <c r="AB85" s="33">
        <f t="shared" si="89"/>
        <v>4.0000000000000036E-2</v>
      </c>
      <c r="AC85" s="34">
        <f t="shared" si="90"/>
        <v>4.2444444444444479E-2</v>
      </c>
      <c r="AD85" s="33">
        <f t="shared" si="91"/>
        <v>0</v>
      </c>
      <c r="AE85" s="34">
        <f t="shared" si="92"/>
        <v>0.13873391111111122</v>
      </c>
      <c r="AI85" s="16">
        <v>78</v>
      </c>
      <c r="AJ85" s="84">
        <v>25.8</v>
      </c>
      <c r="AK85" s="32">
        <f t="shared" si="70"/>
        <v>25.808199999999989</v>
      </c>
      <c r="AL85" s="32">
        <f t="shared" si="71"/>
        <v>7.4500084739969288E-2</v>
      </c>
      <c r="AM85" s="32">
        <f t="shared" si="72"/>
        <v>26.031700254219896</v>
      </c>
      <c r="AN85" s="32">
        <f t="shared" si="73"/>
        <v>25.584699745780082</v>
      </c>
      <c r="AO85" s="32">
        <f t="shared" si="74"/>
        <v>25.957200169479929</v>
      </c>
      <c r="AP85" s="32">
        <f t="shared" si="75"/>
        <v>25.659199830520048</v>
      </c>
      <c r="AQ85" s="32">
        <f t="shared" si="76"/>
        <v>25.882700084739959</v>
      </c>
      <c r="AR85" s="32">
        <f t="shared" si="77"/>
        <v>25.733699915260019</v>
      </c>
      <c r="AS85" s="33">
        <f t="shared" si="93"/>
        <v>0.16000000000000014</v>
      </c>
      <c r="AT85" s="34">
        <f t="shared" si="94"/>
        <v>6.6666666666666249E-2</v>
      </c>
      <c r="AU85" s="34">
        <f t="shared" si="95"/>
        <v>0</v>
      </c>
      <c r="AV85" s="34">
        <f t="shared" si="96"/>
        <v>0.21790666666666531</v>
      </c>
      <c r="AZ85" s="16">
        <v>78</v>
      </c>
      <c r="BA85" s="35">
        <v>25.88</v>
      </c>
      <c r="BB85" s="32">
        <f t="shared" si="78"/>
        <v>25.750800000000005</v>
      </c>
      <c r="BC85" s="32">
        <f t="shared" si="79"/>
        <v>5.7272695206019339E-2</v>
      </c>
      <c r="BD85" s="32">
        <f t="shared" si="80"/>
        <v>25.922618085618062</v>
      </c>
      <c r="BE85" s="32">
        <f t="shared" si="81"/>
        <v>25.578981914381949</v>
      </c>
      <c r="BF85" s="32">
        <f t="shared" si="82"/>
        <v>25.865345390412045</v>
      </c>
      <c r="BG85" s="32">
        <f t="shared" si="83"/>
        <v>25.636254609587965</v>
      </c>
      <c r="BH85" s="32">
        <f t="shared" si="84"/>
        <v>25.808072695206025</v>
      </c>
      <c r="BI85" s="32">
        <f t="shared" si="85"/>
        <v>25.693527304793985</v>
      </c>
      <c r="BJ85" s="33">
        <f t="shared" si="53"/>
        <v>1.9999999999999574E-2</v>
      </c>
      <c r="BK85" s="34">
        <f t="shared" si="97"/>
        <v>3.6565656565656614E-2</v>
      </c>
      <c r="BL85" s="34">
        <f t="shared" si="98"/>
        <v>0</v>
      </c>
      <c r="BM85" s="34">
        <f t="shared" si="99"/>
        <v>0.11951850505050521</v>
      </c>
      <c r="BQ85" s="22">
        <v>78</v>
      </c>
      <c r="BR85" s="121" t="str">
        <f>IF(ISBLANK(Datos!B80),"",(ABS(Datos!B79-Datos!B80)))</f>
        <v/>
      </c>
      <c r="BS85" s="121" t="str">
        <f>IF(ISBLANK(Datos!C80),"",(ABS(Datos!C79-Datos!C80)))</f>
        <v/>
      </c>
      <c r="BT85" s="121" t="str">
        <f>IF(ISBLANK(Datos!D80),"",(ABS(Datos!D79-Datos!D80)))</f>
        <v/>
      </c>
      <c r="BU85" s="21" t="str">
        <f>IF(ISBLANK(Datos!E80),"",(ABS(Datos!E79-Datos!E80)))</f>
        <v/>
      </c>
    </row>
    <row r="86" spans="1:73" x14ac:dyDescent="0.3">
      <c r="A86" s="16">
        <v>79</v>
      </c>
      <c r="B86" s="35"/>
      <c r="C86" s="32" t="e">
        <f t="shared" si="54"/>
        <v>#DIV/0!</v>
      </c>
      <c r="D86" s="32" t="e">
        <f t="shared" si="55"/>
        <v>#DIV/0!</v>
      </c>
      <c r="E86" s="32" t="e">
        <f t="shared" si="56"/>
        <v>#DIV/0!</v>
      </c>
      <c r="F86" s="32" t="e">
        <f t="shared" si="57"/>
        <v>#DIV/0!</v>
      </c>
      <c r="G86" s="32" t="e">
        <f t="shared" si="58"/>
        <v>#DIV/0!</v>
      </c>
      <c r="H86" s="32" t="e">
        <f t="shared" si="59"/>
        <v>#DIV/0!</v>
      </c>
      <c r="I86" s="32" t="e">
        <f t="shared" si="60"/>
        <v>#DIV/0!</v>
      </c>
      <c r="J86" s="32" t="e">
        <f t="shared" si="61"/>
        <v>#DIV/0!</v>
      </c>
      <c r="K86" s="33">
        <f t="shared" si="52"/>
        <v>0</v>
      </c>
      <c r="L86" s="34">
        <f t="shared" si="86"/>
        <v>0</v>
      </c>
      <c r="M86" s="33">
        <f t="shared" si="87"/>
        <v>0</v>
      </c>
      <c r="N86" s="34">
        <f t="shared" si="88"/>
        <v>0</v>
      </c>
      <c r="R86" s="16">
        <v>79</v>
      </c>
      <c r="S86" s="35">
        <v>6.44</v>
      </c>
      <c r="T86" s="32">
        <f t="shared" si="62"/>
        <v>6.3964700000000017</v>
      </c>
      <c r="U86" s="32">
        <f t="shared" si="63"/>
        <v>4.3797618818166538E-2</v>
      </c>
      <c r="V86" s="32">
        <f t="shared" si="64"/>
        <v>6.5278628564545009</v>
      </c>
      <c r="W86" s="32">
        <f t="shared" si="65"/>
        <v>6.2650771435455024</v>
      </c>
      <c r="X86" s="32">
        <f t="shared" si="66"/>
        <v>6.4840652376363348</v>
      </c>
      <c r="Y86" s="32">
        <f t="shared" si="67"/>
        <v>6.3088747623636685</v>
      </c>
      <c r="Z86" s="32">
        <f t="shared" si="68"/>
        <v>6.4402676188181678</v>
      </c>
      <c r="AA86" s="32">
        <f t="shared" si="69"/>
        <v>6.3526723811818355</v>
      </c>
      <c r="AB86" s="33">
        <f t="shared" si="89"/>
        <v>2.0000000000000462E-2</v>
      </c>
      <c r="AC86" s="34">
        <f t="shared" si="90"/>
        <v>4.2444444444444479E-2</v>
      </c>
      <c r="AD86" s="33">
        <f t="shared" si="91"/>
        <v>0</v>
      </c>
      <c r="AE86" s="34">
        <f t="shared" si="92"/>
        <v>0.13873391111111122</v>
      </c>
      <c r="AI86" s="16">
        <v>79</v>
      </c>
      <c r="AJ86" s="84">
        <v>25.91</v>
      </c>
      <c r="AK86" s="32">
        <f t="shared" si="70"/>
        <v>25.808199999999989</v>
      </c>
      <c r="AL86" s="32">
        <f t="shared" si="71"/>
        <v>7.4500084739969288E-2</v>
      </c>
      <c r="AM86" s="32">
        <f t="shared" si="72"/>
        <v>26.031700254219896</v>
      </c>
      <c r="AN86" s="32">
        <f t="shared" si="73"/>
        <v>25.584699745780082</v>
      </c>
      <c r="AO86" s="32">
        <f t="shared" si="74"/>
        <v>25.957200169479929</v>
      </c>
      <c r="AP86" s="32">
        <f t="shared" si="75"/>
        <v>25.659199830520048</v>
      </c>
      <c r="AQ86" s="32">
        <f t="shared" si="76"/>
        <v>25.882700084739959</v>
      </c>
      <c r="AR86" s="32">
        <f t="shared" si="77"/>
        <v>25.733699915260019</v>
      </c>
      <c r="AS86" s="33">
        <f t="shared" si="93"/>
        <v>0.10999999999999943</v>
      </c>
      <c r="AT86" s="34">
        <f t="shared" si="94"/>
        <v>6.6666666666666249E-2</v>
      </c>
      <c r="AU86" s="34">
        <f t="shared" si="95"/>
        <v>0</v>
      </c>
      <c r="AV86" s="34">
        <f t="shared" si="96"/>
        <v>0.21790666666666531</v>
      </c>
      <c r="AZ86" s="16">
        <v>79</v>
      </c>
      <c r="BA86" s="35">
        <v>25.86</v>
      </c>
      <c r="BB86" s="32">
        <f t="shared" si="78"/>
        <v>25.750800000000005</v>
      </c>
      <c r="BC86" s="32">
        <f t="shared" si="79"/>
        <v>5.7272695206019339E-2</v>
      </c>
      <c r="BD86" s="32">
        <f t="shared" si="80"/>
        <v>25.922618085618062</v>
      </c>
      <c r="BE86" s="32">
        <f t="shared" si="81"/>
        <v>25.578981914381949</v>
      </c>
      <c r="BF86" s="32">
        <f t="shared" si="82"/>
        <v>25.865345390412045</v>
      </c>
      <c r="BG86" s="32">
        <f t="shared" si="83"/>
        <v>25.636254609587965</v>
      </c>
      <c r="BH86" s="32">
        <f t="shared" si="84"/>
        <v>25.808072695206025</v>
      </c>
      <c r="BI86" s="32">
        <f t="shared" si="85"/>
        <v>25.693527304793985</v>
      </c>
      <c r="BJ86" s="33">
        <f t="shared" si="53"/>
        <v>1.9999999999999574E-2</v>
      </c>
      <c r="BK86" s="34">
        <f t="shared" si="97"/>
        <v>3.6565656565656614E-2</v>
      </c>
      <c r="BL86" s="34">
        <f t="shared" si="98"/>
        <v>0</v>
      </c>
      <c r="BM86" s="34">
        <f t="shared" si="99"/>
        <v>0.11951850505050521</v>
      </c>
      <c r="BQ86" s="22">
        <v>79</v>
      </c>
      <c r="BR86" s="121" t="str">
        <f>IF(ISBLANK(Datos!B81),"",(ABS(Datos!B80-Datos!B81)))</f>
        <v/>
      </c>
      <c r="BS86" s="121" t="str">
        <f>IF(ISBLANK(Datos!C81),"",(ABS(Datos!C80-Datos!C81)))</f>
        <v/>
      </c>
      <c r="BT86" s="121" t="str">
        <f>IF(ISBLANK(Datos!D81),"",(ABS(Datos!D80-Datos!D81)))</f>
        <v/>
      </c>
      <c r="BU86" s="21" t="str">
        <f>IF(ISBLANK(Datos!E81),"",(ABS(Datos!E80-Datos!E81)))</f>
        <v/>
      </c>
    </row>
    <row r="87" spans="1:73" x14ac:dyDescent="0.3">
      <c r="A87" s="16">
        <v>80</v>
      </c>
      <c r="B87" s="35"/>
      <c r="C87" s="32" t="e">
        <f t="shared" si="54"/>
        <v>#DIV/0!</v>
      </c>
      <c r="D87" s="32" t="e">
        <f t="shared" si="55"/>
        <v>#DIV/0!</v>
      </c>
      <c r="E87" s="32" t="e">
        <f t="shared" si="56"/>
        <v>#DIV/0!</v>
      </c>
      <c r="F87" s="32" t="e">
        <f t="shared" si="57"/>
        <v>#DIV/0!</v>
      </c>
      <c r="G87" s="32" t="e">
        <f t="shared" si="58"/>
        <v>#DIV/0!</v>
      </c>
      <c r="H87" s="32" t="e">
        <f t="shared" si="59"/>
        <v>#DIV/0!</v>
      </c>
      <c r="I87" s="32" t="e">
        <f t="shared" si="60"/>
        <v>#DIV/0!</v>
      </c>
      <c r="J87" s="32" t="e">
        <f t="shared" si="61"/>
        <v>#DIV/0!</v>
      </c>
      <c r="K87" s="33">
        <f t="shared" si="52"/>
        <v>0</v>
      </c>
      <c r="L87" s="34">
        <f t="shared" si="86"/>
        <v>0</v>
      </c>
      <c r="M87" s="33">
        <f t="shared" si="87"/>
        <v>0</v>
      </c>
      <c r="N87" s="34">
        <f t="shared" si="88"/>
        <v>0</v>
      </c>
      <c r="R87" s="16">
        <v>80</v>
      </c>
      <c r="S87" s="35">
        <v>6.4</v>
      </c>
      <c r="T87" s="32">
        <f t="shared" si="62"/>
        <v>6.3964700000000017</v>
      </c>
      <c r="U87" s="32">
        <f t="shared" si="63"/>
        <v>4.3797618818166538E-2</v>
      </c>
      <c r="V87" s="32">
        <f t="shared" si="64"/>
        <v>6.5278628564545009</v>
      </c>
      <c r="W87" s="32">
        <f t="shared" si="65"/>
        <v>6.2650771435455024</v>
      </c>
      <c r="X87" s="32">
        <f t="shared" si="66"/>
        <v>6.4840652376363348</v>
      </c>
      <c r="Y87" s="32">
        <f t="shared" si="67"/>
        <v>6.3088747623636685</v>
      </c>
      <c r="Z87" s="32">
        <f t="shared" si="68"/>
        <v>6.4402676188181678</v>
      </c>
      <c r="AA87" s="32">
        <f t="shared" si="69"/>
        <v>6.3526723811818355</v>
      </c>
      <c r="AB87" s="33">
        <f t="shared" si="89"/>
        <v>4.0000000000000036E-2</v>
      </c>
      <c r="AC87" s="34">
        <f t="shared" si="90"/>
        <v>4.2444444444444479E-2</v>
      </c>
      <c r="AD87" s="33">
        <f t="shared" si="91"/>
        <v>0</v>
      </c>
      <c r="AE87" s="34">
        <f t="shared" si="92"/>
        <v>0.13873391111111122</v>
      </c>
      <c r="AI87" s="16">
        <v>80</v>
      </c>
      <c r="AJ87" s="84">
        <v>25.89</v>
      </c>
      <c r="AK87" s="32">
        <f t="shared" si="70"/>
        <v>25.808199999999989</v>
      </c>
      <c r="AL87" s="32">
        <f t="shared" si="71"/>
        <v>7.4500084739969288E-2</v>
      </c>
      <c r="AM87" s="32">
        <f t="shared" si="72"/>
        <v>26.031700254219896</v>
      </c>
      <c r="AN87" s="32">
        <f t="shared" si="73"/>
        <v>25.584699745780082</v>
      </c>
      <c r="AO87" s="32">
        <f t="shared" si="74"/>
        <v>25.957200169479929</v>
      </c>
      <c r="AP87" s="32">
        <f t="shared" si="75"/>
        <v>25.659199830520048</v>
      </c>
      <c r="AQ87" s="32">
        <f t="shared" si="76"/>
        <v>25.882700084739959</v>
      </c>
      <c r="AR87" s="32">
        <f t="shared" si="77"/>
        <v>25.733699915260019</v>
      </c>
      <c r="AS87" s="33">
        <f t="shared" si="93"/>
        <v>1.9999999999999574E-2</v>
      </c>
      <c r="AT87" s="34">
        <f t="shared" si="94"/>
        <v>6.6666666666666249E-2</v>
      </c>
      <c r="AU87" s="34">
        <f t="shared" si="95"/>
        <v>0</v>
      </c>
      <c r="AV87" s="34">
        <f t="shared" si="96"/>
        <v>0.21790666666666531</v>
      </c>
      <c r="AZ87" s="16">
        <v>80</v>
      </c>
      <c r="BA87" s="35">
        <v>25.8</v>
      </c>
      <c r="BB87" s="32">
        <f t="shared" si="78"/>
        <v>25.750800000000005</v>
      </c>
      <c r="BC87" s="32">
        <f t="shared" si="79"/>
        <v>5.7272695206019339E-2</v>
      </c>
      <c r="BD87" s="32">
        <f t="shared" si="80"/>
        <v>25.922618085618062</v>
      </c>
      <c r="BE87" s="32">
        <f t="shared" si="81"/>
        <v>25.578981914381949</v>
      </c>
      <c r="BF87" s="32">
        <f t="shared" si="82"/>
        <v>25.865345390412045</v>
      </c>
      <c r="BG87" s="32">
        <f t="shared" si="83"/>
        <v>25.636254609587965</v>
      </c>
      <c r="BH87" s="32">
        <f t="shared" si="84"/>
        <v>25.808072695206025</v>
      </c>
      <c r="BI87" s="32">
        <f t="shared" si="85"/>
        <v>25.693527304793985</v>
      </c>
      <c r="BJ87" s="33">
        <f t="shared" si="53"/>
        <v>5.9999999999998721E-2</v>
      </c>
      <c r="BK87" s="34">
        <f t="shared" si="97"/>
        <v>3.6565656565656614E-2</v>
      </c>
      <c r="BL87" s="34">
        <f t="shared" si="98"/>
        <v>0</v>
      </c>
      <c r="BM87" s="34">
        <f t="shared" si="99"/>
        <v>0.11951850505050521</v>
      </c>
      <c r="BQ87" s="22">
        <v>80</v>
      </c>
      <c r="BR87" s="121" t="str">
        <f>IF(ISBLANK(Datos!B82),"",(ABS(Datos!B81-Datos!B82)))</f>
        <v/>
      </c>
      <c r="BS87" s="121" t="str">
        <f>IF(ISBLANK(Datos!C82),"",(ABS(Datos!C81-Datos!C82)))</f>
        <v/>
      </c>
      <c r="BT87" s="121" t="str">
        <f>IF(ISBLANK(Datos!D82),"",(ABS(Datos!D81-Datos!D82)))</f>
        <v/>
      </c>
      <c r="BU87" s="21" t="str">
        <f>IF(ISBLANK(Datos!E82),"",(ABS(Datos!E81-Datos!E82)))</f>
        <v/>
      </c>
    </row>
    <row r="88" spans="1:73" x14ac:dyDescent="0.3">
      <c r="A88" s="16">
        <v>81</v>
      </c>
      <c r="B88" s="35"/>
      <c r="C88" s="32" t="e">
        <f t="shared" si="54"/>
        <v>#DIV/0!</v>
      </c>
      <c r="D88" s="32" t="e">
        <f t="shared" si="55"/>
        <v>#DIV/0!</v>
      </c>
      <c r="E88" s="32" t="e">
        <f t="shared" si="56"/>
        <v>#DIV/0!</v>
      </c>
      <c r="F88" s="32" t="e">
        <f t="shared" si="57"/>
        <v>#DIV/0!</v>
      </c>
      <c r="G88" s="32" t="e">
        <f t="shared" si="58"/>
        <v>#DIV/0!</v>
      </c>
      <c r="H88" s="32" t="e">
        <f t="shared" si="59"/>
        <v>#DIV/0!</v>
      </c>
      <c r="I88" s="32" t="e">
        <f t="shared" si="60"/>
        <v>#DIV/0!</v>
      </c>
      <c r="J88" s="32" t="e">
        <f t="shared" si="61"/>
        <v>#DIV/0!</v>
      </c>
      <c r="K88" s="33">
        <f t="shared" si="52"/>
        <v>0</v>
      </c>
      <c r="L88" s="34">
        <f t="shared" si="86"/>
        <v>0</v>
      </c>
      <c r="M88" s="33">
        <f t="shared" si="87"/>
        <v>0</v>
      </c>
      <c r="N88" s="34">
        <f t="shared" si="88"/>
        <v>0</v>
      </c>
      <c r="R88" s="16">
        <v>81</v>
      </c>
      <c r="S88" s="35">
        <v>6.42</v>
      </c>
      <c r="T88" s="32">
        <f t="shared" si="62"/>
        <v>6.3964700000000017</v>
      </c>
      <c r="U88" s="32">
        <f t="shared" si="63"/>
        <v>4.3797618818166538E-2</v>
      </c>
      <c r="V88" s="32">
        <f t="shared" si="64"/>
        <v>6.5278628564545009</v>
      </c>
      <c r="W88" s="32">
        <f t="shared" si="65"/>
        <v>6.2650771435455024</v>
      </c>
      <c r="X88" s="32">
        <f t="shared" si="66"/>
        <v>6.4840652376363348</v>
      </c>
      <c r="Y88" s="32">
        <f t="shared" si="67"/>
        <v>6.3088747623636685</v>
      </c>
      <c r="Z88" s="32">
        <f t="shared" si="68"/>
        <v>6.4402676188181678</v>
      </c>
      <c r="AA88" s="32">
        <f t="shared" si="69"/>
        <v>6.3526723811818355</v>
      </c>
      <c r="AB88" s="33">
        <f t="shared" si="89"/>
        <v>1.9999999999999574E-2</v>
      </c>
      <c r="AC88" s="34">
        <f t="shared" si="90"/>
        <v>4.2444444444444479E-2</v>
      </c>
      <c r="AD88" s="33">
        <f t="shared" si="91"/>
        <v>0</v>
      </c>
      <c r="AE88" s="34">
        <f t="shared" si="92"/>
        <v>0.13873391111111122</v>
      </c>
      <c r="AI88" s="16">
        <v>81</v>
      </c>
      <c r="AJ88" s="84">
        <v>25.89</v>
      </c>
      <c r="AK88" s="32">
        <f t="shared" si="70"/>
        <v>25.808199999999989</v>
      </c>
      <c r="AL88" s="32">
        <f t="shared" si="71"/>
        <v>7.4500084739969288E-2</v>
      </c>
      <c r="AM88" s="32">
        <f t="shared" si="72"/>
        <v>26.031700254219896</v>
      </c>
      <c r="AN88" s="32">
        <f t="shared" si="73"/>
        <v>25.584699745780082</v>
      </c>
      <c r="AO88" s="32">
        <f t="shared" si="74"/>
        <v>25.957200169479929</v>
      </c>
      <c r="AP88" s="32">
        <f t="shared" si="75"/>
        <v>25.659199830520048</v>
      </c>
      <c r="AQ88" s="32">
        <f t="shared" si="76"/>
        <v>25.882700084739959</v>
      </c>
      <c r="AR88" s="32">
        <f t="shared" si="77"/>
        <v>25.733699915260019</v>
      </c>
      <c r="AS88" s="33">
        <f t="shared" si="93"/>
        <v>0</v>
      </c>
      <c r="AT88" s="34">
        <f t="shared" si="94"/>
        <v>6.6666666666666249E-2</v>
      </c>
      <c r="AU88" s="34">
        <f t="shared" si="95"/>
        <v>0</v>
      </c>
      <c r="AV88" s="34">
        <f t="shared" si="96"/>
        <v>0.21790666666666531</v>
      </c>
      <c r="AZ88" s="16">
        <v>81</v>
      </c>
      <c r="BA88" s="35">
        <v>25.91</v>
      </c>
      <c r="BB88" s="32">
        <f t="shared" si="78"/>
        <v>25.750800000000005</v>
      </c>
      <c r="BC88" s="32">
        <f t="shared" si="79"/>
        <v>5.7272695206019339E-2</v>
      </c>
      <c r="BD88" s="32">
        <f t="shared" si="80"/>
        <v>25.922618085618062</v>
      </c>
      <c r="BE88" s="32">
        <f t="shared" si="81"/>
        <v>25.578981914381949</v>
      </c>
      <c r="BF88" s="32">
        <f t="shared" si="82"/>
        <v>25.865345390412045</v>
      </c>
      <c r="BG88" s="32">
        <f t="shared" si="83"/>
        <v>25.636254609587965</v>
      </c>
      <c r="BH88" s="32">
        <f t="shared" si="84"/>
        <v>25.808072695206025</v>
      </c>
      <c r="BI88" s="32">
        <f t="shared" si="85"/>
        <v>25.693527304793985</v>
      </c>
      <c r="BJ88" s="33">
        <f t="shared" si="53"/>
        <v>0.10999999999999943</v>
      </c>
      <c r="BK88" s="34">
        <f t="shared" si="97"/>
        <v>3.6565656565656614E-2</v>
      </c>
      <c r="BL88" s="34">
        <f t="shared" si="98"/>
        <v>0</v>
      </c>
      <c r="BM88" s="34">
        <f t="shared" si="99"/>
        <v>0.11951850505050521</v>
      </c>
      <c r="BQ88" s="22">
        <v>81</v>
      </c>
      <c r="BR88" s="121" t="str">
        <f>IF(ISBLANK(Datos!B83),"",(ABS(Datos!B82-Datos!B83)))</f>
        <v/>
      </c>
      <c r="BS88" s="121" t="str">
        <f>IF(ISBLANK(Datos!C83),"",(ABS(Datos!C82-Datos!C83)))</f>
        <v/>
      </c>
      <c r="BT88" s="121" t="str">
        <f>IF(ISBLANK(Datos!D83),"",(ABS(Datos!D82-Datos!D83)))</f>
        <v/>
      </c>
      <c r="BU88" s="21" t="str">
        <f>IF(ISBLANK(Datos!E83),"",(ABS(Datos!E82-Datos!E83)))</f>
        <v/>
      </c>
    </row>
    <row r="89" spans="1:73" x14ac:dyDescent="0.3">
      <c r="A89" s="16">
        <v>82</v>
      </c>
      <c r="B89" s="35"/>
      <c r="C89" s="32" t="e">
        <f t="shared" si="54"/>
        <v>#DIV/0!</v>
      </c>
      <c r="D89" s="32" t="e">
        <f t="shared" si="55"/>
        <v>#DIV/0!</v>
      </c>
      <c r="E89" s="32" t="e">
        <f t="shared" si="56"/>
        <v>#DIV/0!</v>
      </c>
      <c r="F89" s="32" t="e">
        <f t="shared" si="57"/>
        <v>#DIV/0!</v>
      </c>
      <c r="G89" s="32" t="e">
        <f t="shared" si="58"/>
        <v>#DIV/0!</v>
      </c>
      <c r="H89" s="32" t="e">
        <f t="shared" si="59"/>
        <v>#DIV/0!</v>
      </c>
      <c r="I89" s="32" t="e">
        <f t="shared" si="60"/>
        <v>#DIV/0!</v>
      </c>
      <c r="J89" s="32" t="e">
        <f t="shared" si="61"/>
        <v>#DIV/0!</v>
      </c>
      <c r="K89" s="33">
        <f t="shared" si="52"/>
        <v>0</v>
      </c>
      <c r="L89" s="34">
        <f t="shared" si="86"/>
        <v>0</v>
      </c>
      <c r="M89" s="33">
        <f t="shared" si="87"/>
        <v>0</v>
      </c>
      <c r="N89" s="34">
        <f t="shared" si="88"/>
        <v>0</v>
      </c>
      <c r="R89" s="16">
        <v>82</v>
      </c>
      <c r="S89" s="35">
        <v>6.38</v>
      </c>
      <c r="T89" s="32">
        <f t="shared" si="62"/>
        <v>6.3964700000000017</v>
      </c>
      <c r="U89" s="32">
        <f t="shared" si="63"/>
        <v>4.3797618818166538E-2</v>
      </c>
      <c r="V89" s="32">
        <f t="shared" si="64"/>
        <v>6.5278628564545009</v>
      </c>
      <c r="W89" s="32">
        <f t="shared" si="65"/>
        <v>6.2650771435455024</v>
      </c>
      <c r="X89" s="32">
        <f t="shared" si="66"/>
        <v>6.4840652376363348</v>
      </c>
      <c r="Y89" s="32">
        <f t="shared" si="67"/>
        <v>6.3088747623636685</v>
      </c>
      <c r="Z89" s="32">
        <f t="shared" si="68"/>
        <v>6.4402676188181678</v>
      </c>
      <c r="AA89" s="32">
        <f t="shared" si="69"/>
        <v>6.3526723811818355</v>
      </c>
      <c r="AB89" s="33">
        <f t="shared" si="89"/>
        <v>4.0000000000000036E-2</v>
      </c>
      <c r="AC89" s="34">
        <f t="shared" si="90"/>
        <v>4.2444444444444479E-2</v>
      </c>
      <c r="AD89" s="33">
        <f t="shared" si="91"/>
        <v>0</v>
      </c>
      <c r="AE89" s="34">
        <f t="shared" si="92"/>
        <v>0.13873391111111122</v>
      </c>
      <c r="AI89" s="16">
        <v>82</v>
      </c>
      <c r="AJ89" s="84">
        <v>25.89</v>
      </c>
      <c r="AK89" s="32">
        <f t="shared" si="70"/>
        <v>25.808199999999989</v>
      </c>
      <c r="AL89" s="32">
        <f t="shared" si="71"/>
        <v>7.4500084739969288E-2</v>
      </c>
      <c r="AM89" s="32">
        <f t="shared" si="72"/>
        <v>26.031700254219896</v>
      </c>
      <c r="AN89" s="32">
        <f t="shared" si="73"/>
        <v>25.584699745780082</v>
      </c>
      <c r="AO89" s="32">
        <f t="shared" si="74"/>
        <v>25.957200169479929</v>
      </c>
      <c r="AP89" s="32">
        <f t="shared" si="75"/>
        <v>25.659199830520048</v>
      </c>
      <c r="AQ89" s="32">
        <f t="shared" si="76"/>
        <v>25.882700084739959</v>
      </c>
      <c r="AR89" s="32">
        <f t="shared" si="77"/>
        <v>25.733699915260019</v>
      </c>
      <c r="AS89" s="33">
        <f t="shared" si="93"/>
        <v>0</v>
      </c>
      <c r="AT89" s="34">
        <f t="shared" si="94"/>
        <v>6.6666666666666249E-2</v>
      </c>
      <c r="AU89" s="34">
        <f t="shared" si="95"/>
        <v>0</v>
      </c>
      <c r="AV89" s="34">
        <f t="shared" si="96"/>
        <v>0.21790666666666531</v>
      </c>
      <c r="AZ89" s="16">
        <v>82</v>
      </c>
      <c r="BA89" s="35">
        <v>25.83</v>
      </c>
      <c r="BB89" s="32">
        <f t="shared" si="78"/>
        <v>25.750800000000005</v>
      </c>
      <c r="BC89" s="32">
        <f t="shared" si="79"/>
        <v>5.7272695206019339E-2</v>
      </c>
      <c r="BD89" s="32">
        <f t="shared" si="80"/>
        <v>25.922618085618062</v>
      </c>
      <c r="BE89" s="32">
        <f t="shared" si="81"/>
        <v>25.578981914381949</v>
      </c>
      <c r="BF89" s="32">
        <f t="shared" si="82"/>
        <v>25.865345390412045</v>
      </c>
      <c r="BG89" s="32">
        <f t="shared" si="83"/>
        <v>25.636254609587965</v>
      </c>
      <c r="BH89" s="32">
        <f t="shared" si="84"/>
        <v>25.808072695206025</v>
      </c>
      <c r="BI89" s="32">
        <f t="shared" si="85"/>
        <v>25.693527304793985</v>
      </c>
      <c r="BJ89" s="33">
        <f t="shared" si="53"/>
        <v>8.0000000000001847E-2</v>
      </c>
      <c r="BK89" s="34">
        <f t="shared" si="97"/>
        <v>3.6565656565656614E-2</v>
      </c>
      <c r="BL89" s="34">
        <f t="shared" si="98"/>
        <v>0</v>
      </c>
      <c r="BM89" s="34">
        <f t="shared" si="99"/>
        <v>0.11951850505050521</v>
      </c>
      <c r="BQ89" s="22">
        <v>82</v>
      </c>
      <c r="BR89" s="121" t="str">
        <f>IF(ISBLANK(Datos!B84),"",(ABS(Datos!B83-Datos!B84)))</f>
        <v/>
      </c>
      <c r="BS89" s="121" t="str">
        <f>IF(ISBLANK(Datos!C84),"",(ABS(Datos!C83-Datos!C84)))</f>
        <v/>
      </c>
      <c r="BT89" s="121" t="str">
        <f>IF(ISBLANK(Datos!D84),"",(ABS(Datos!D83-Datos!D84)))</f>
        <v/>
      </c>
      <c r="BU89" s="21" t="str">
        <f>IF(ISBLANK(Datos!E84),"",(ABS(Datos!E83-Datos!E84)))</f>
        <v/>
      </c>
    </row>
    <row r="90" spans="1:73" x14ac:dyDescent="0.3">
      <c r="A90" s="16">
        <v>83</v>
      </c>
      <c r="B90" s="35"/>
      <c r="C90" s="32" t="e">
        <f t="shared" si="54"/>
        <v>#DIV/0!</v>
      </c>
      <c r="D90" s="32" t="e">
        <f t="shared" si="55"/>
        <v>#DIV/0!</v>
      </c>
      <c r="E90" s="32" t="e">
        <f t="shared" si="56"/>
        <v>#DIV/0!</v>
      </c>
      <c r="F90" s="32" t="e">
        <f t="shared" si="57"/>
        <v>#DIV/0!</v>
      </c>
      <c r="G90" s="32" t="e">
        <f t="shared" si="58"/>
        <v>#DIV/0!</v>
      </c>
      <c r="H90" s="32" t="e">
        <f t="shared" si="59"/>
        <v>#DIV/0!</v>
      </c>
      <c r="I90" s="32" t="e">
        <f t="shared" si="60"/>
        <v>#DIV/0!</v>
      </c>
      <c r="J90" s="32" t="e">
        <f t="shared" si="61"/>
        <v>#DIV/0!</v>
      </c>
      <c r="K90" s="33">
        <f t="shared" si="52"/>
        <v>0</v>
      </c>
      <c r="L90" s="34">
        <f t="shared" si="86"/>
        <v>0</v>
      </c>
      <c r="M90" s="33">
        <f t="shared" si="87"/>
        <v>0</v>
      </c>
      <c r="N90" s="34">
        <f t="shared" si="88"/>
        <v>0</v>
      </c>
      <c r="R90" s="16">
        <v>83</v>
      </c>
      <c r="S90" s="35">
        <v>6.38</v>
      </c>
      <c r="T90" s="32">
        <f t="shared" si="62"/>
        <v>6.3964700000000017</v>
      </c>
      <c r="U90" s="32">
        <f t="shared" si="63"/>
        <v>4.3797618818166538E-2</v>
      </c>
      <c r="V90" s="32">
        <f t="shared" si="64"/>
        <v>6.5278628564545009</v>
      </c>
      <c r="W90" s="32">
        <f t="shared" si="65"/>
        <v>6.2650771435455024</v>
      </c>
      <c r="X90" s="32">
        <f t="shared" si="66"/>
        <v>6.4840652376363348</v>
      </c>
      <c r="Y90" s="32">
        <f t="shared" si="67"/>
        <v>6.3088747623636685</v>
      </c>
      <c r="Z90" s="32">
        <f t="shared" si="68"/>
        <v>6.4402676188181678</v>
      </c>
      <c r="AA90" s="32">
        <f t="shared" si="69"/>
        <v>6.3526723811818355</v>
      </c>
      <c r="AB90" s="33">
        <f t="shared" si="89"/>
        <v>0</v>
      </c>
      <c r="AC90" s="34">
        <f t="shared" si="90"/>
        <v>4.2444444444444479E-2</v>
      </c>
      <c r="AD90" s="33">
        <f t="shared" si="91"/>
        <v>0</v>
      </c>
      <c r="AE90" s="34">
        <f t="shared" si="92"/>
        <v>0.13873391111111122</v>
      </c>
      <c r="AI90" s="16">
        <v>83</v>
      </c>
      <c r="AJ90" s="84">
        <v>25.89</v>
      </c>
      <c r="AK90" s="32">
        <f t="shared" si="70"/>
        <v>25.808199999999989</v>
      </c>
      <c r="AL90" s="32">
        <f t="shared" si="71"/>
        <v>7.4500084739969288E-2</v>
      </c>
      <c r="AM90" s="32">
        <f t="shared" si="72"/>
        <v>26.031700254219896</v>
      </c>
      <c r="AN90" s="32">
        <f t="shared" si="73"/>
        <v>25.584699745780082</v>
      </c>
      <c r="AO90" s="32">
        <f t="shared" si="74"/>
        <v>25.957200169479929</v>
      </c>
      <c r="AP90" s="32">
        <f t="shared" si="75"/>
        <v>25.659199830520048</v>
      </c>
      <c r="AQ90" s="32">
        <f t="shared" si="76"/>
        <v>25.882700084739959</v>
      </c>
      <c r="AR90" s="32">
        <f t="shared" si="77"/>
        <v>25.733699915260019</v>
      </c>
      <c r="AS90" s="33">
        <f t="shared" si="93"/>
        <v>0</v>
      </c>
      <c r="AT90" s="34">
        <f t="shared" si="94"/>
        <v>6.6666666666666249E-2</v>
      </c>
      <c r="AU90" s="34">
        <f t="shared" si="95"/>
        <v>0</v>
      </c>
      <c r="AV90" s="34">
        <f t="shared" si="96"/>
        <v>0.21790666666666531</v>
      </c>
      <c r="AZ90" s="16">
        <v>83</v>
      </c>
      <c r="BA90" s="35">
        <v>25.83</v>
      </c>
      <c r="BB90" s="32">
        <f t="shared" si="78"/>
        <v>25.750800000000005</v>
      </c>
      <c r="BC90" s="32">
        <f t="shared" si="79"/>
        <v>5.7272695206019339E-2</v>
      </c>
      <c r="BD90" s="32">
        <f t="shared" si="80"/>
        <v>25.922618085618062</v>
      </c>
      <c r="BE90" s="32">
        <f t="shared" si="81"/>
        <v>25.578981914381949</v>
      </c>
      <c r="BF90" s="32">
        <f t="shared" si="82"/>
        <v>25.865345390412045</v>
      </c>
      <c r="BG90" s="32">
        <f t="shared" si="83"/>
        <v>25.636254609587965</v>
      </c>
      <c r="BH90" s="32">
        <f t="shared" si="84"/>
        <v>25.808072695206025</v>
      </c>
      <c r="BI90" s="32">
        <f t="shared" si="85"/>
        <v>25.693527304793985</v>
      </c>
      <c r="BJ90" s="33">
        <f t="shared" si="53"/>
        <v>0</v>
      </c>
      <c r="BK90" s="34">
        <f t="shared" si="97"/>
        <v>3.6565656565656614E-2</v>
      </c>
      <c r="BL90" s="34">
        <f t="shared" si="98"/>
        <v>0</v>
      </c>
      <c r="BM90" s="34">
        <f t="shared" si="99"/>
        <v>0.11951850505050521</v>
      </c>
      <c r="BQ90" s="22">
        <v>83</v>
      </c>
      <c r="BR90" s="121" t="str">
        <f>IF(ISBLANK(Datos!B85),"",(ABS(Datos!B84-Datos!B85)))</f>
        <v/>
      </c>
      <c r="BS90" s="121" t="str">
        <f>IF(ISBLANK(Datos!C85),"",(ABS(Datos!C84-Datos!C85)))</f>
        <v/>
      </c>
      <c r="BT90" s="121" t="str">
        <f>IF(ISBLANK(Datos!D85),"",(ABS(Datos!D84-Datos!D85)))</f>
        <v/>
      </c>
      <c r="BU90" s="21" t="str">
        <f>IF(ISBLANK(Datos!E85),"",(ABS(Datos!E84-Datos!E85)))</f>
        <v/>
      </c>
    </row>
    <row r="91" spans="1:73" x14ac:dyDescent="0.3">
      <c r="A91" s="16">
        <v>84</v>
      </c>
      <c r="B91" s="35"/>
      <c r="C91" s="32" t="e">
        <f t="shared" si="54"/>
        <v>#DIV/0!</v>
      </c>
      <c r="D91" s="32" t="e">
        <f t="shared" si="55"/>
        <v>#DIV/0!</v>
      </c>
      <c r="E91" s="32" t="e">
        <f t="shared" si="56"/>
        <v>#DIV/0!</v>
      </c>
      <c r="F91" s="32" t="e">
        <f t="shared" si="57"/>
        <v>#DIV/0!</v>
      </c>
      <c r="G91" s="32" t="e">
        <f t="shared" si="58"/>
        <v>#DIV/0!</v>
      </c>
      <c r="H91" s="32" t="e">
        <f t="shared" si="59"/>
        <v>#DIV/0!</v>
      </c>
      <c r="I91" s="32" t="e">
        <f t="shared" si="60"/>
        <v>#DIV/0!</v>
      </c>
      <c r="J91" s="32" t="e">
        <f t="shared" si="61"/>
        <v>#DIV/0!</v>
      </c>
      <c r="K91" s="33">
        <f t="shared" si="52"/>
        <v>0</v>
      </c>
      <c r="L91" s="34">
        <f t="shared" si="86"/>
        <v>0</v>
      </c>
      <c r="M91" s="33">
        <f t="shared" si="87"/>
        <v>0</v>
      </c>
      <c r="N91" s="34">
        <f t="shared" si="88"/>
        <v>0</v>
      </c>
      <c r="R91" s="16">
        <v>84</v>
      </c>
      <c r="S91" s="35">
        <v>6.38</v>
      </c>
      <c r="T91" s="32">
        <f t="shared" si="62"/>
        <v>6.3964700000000017</v>
      </c>
      <c r="U91" s="32">
        <f t="shared" si="63"/>
        <v>4.3797618818166538E-2</v>
      </c>
      <c r="V91" s="32">
        <f t="shared" si="64"/>
        <v>6.5278628564545009</v>
      </c>
      <c r="W91" s="32">
        <f t="shared" si="65"/>
        <v>6.2650771435455024</v>
      </c>
      <c r="X91" s="32">
        <f t="shared" si="66"/>
        <v>6.4840652376363348</v>
      </c>
      <c r="Y91" s="32">
        <f t="shared" si="67"/>
        <v>6.3088747623636685</v>
      </c>
      <c r="Z91" s="32">
        <f t="shared" si="68"/>
        <v>6.4402676188181678</v>
      </c>
      <c r="AA91" s="32">
        <f t="shared" si="69"/>
        <v>6.3526723811818355</v>
      </c>
      <c r="AB91" s="33">
        <f t="shared" si="89"/>
        <v>0</v>
      </c>
      <c r="AC91" s="34">
        <f t="shared" si="90"/>
        <v>4.2444444444444479E-2</v>
      </c>
      <c r="AD91" s="33">
        <f t="shared" si="91"/>
        <v>0</v>
      </c>
      <c r="AE91" s="34">
        <f t="shared" si="92"/>
        <v>0.13873391111111122</v>
      </c>
      <c r="AI91" s="16">
        <v>84</v>
      </c>
      <c r="AJ91" s="84">
        <v>25.92</v>
      </c>
      <c r="AK91" s="32">
        <f t="shared" si="70"/>
        <v>25.808199999999989</v>
      </c>
      <c r="AL91" s="32">
        <f t="shared" si="71"/>
        <v>7.4500084739969288E-2</v>
      </c>
      <c r="AM91" s="32">
        <f t="shared" si="72"/>
        <v>26.031700254219896</v>
      </c>
      <c r="AN91" s="32">
        <f t="shared" si="73"/>
        <v>25.584699745780082</v>
      </c>
      <c r="AO91" s="32">
        <f t="shared" si="74"/>
        <v>25.957200169479929</v>
      </c>
      <c r="AP91" s="32">
        <f t="shared" si="75"/>
        <v>25.659199830520048</v>
      </c>
      <c r="AQ91" s="32">
        <f t="shared" si="76"/>
        <v>25.882700084739959</v>
      </c>
      <c r="AR91" s="32">
        <f t="shared" si="77"/>
        <v>25.733699915260019</v>
      </c>
      <c r="AS91" s="33">
        <f t="shared" si="93"/>
        <v>3.0000000000001137E-2</v>
      </c>
      <c r="AT91" s="34">
        <f t="shared" si="94"/>
        <v>6.6666666666666249E-2</v>
      </c>
      <c r="AU91" s="34">
        <f t="shared" si="95"/>
        <v>0</v>
      </c>
      <c r="AV91" s="34">
        <f t="shared" si="96"/>
        <v>0.21790666666666531</v>
      </c>
      <c r="AZ91" s="16">
        <v>84</v>
      </c>
      <c r="BA91" s="35">
        <v>25.79</v>
      </c>
      <c r="BB91" s="32">
        <f t="shared" si="78"/>
        <v>25.750800000000005</v>
      </c>
      <c r="BC91" s="32">
        <f t="shared" si="79"/>
        <v>5.7272695206019339E-2</v>
      </c>
      <c r="BD91" s="32">
        <f t="shared" si="80"/>
        <v>25.922618085618062</v>
      </c>
      <c r="BE91" s="32">
        <f t="shared" si="81"/>
        <v>25.578981914381949</v>
      </c>
      <c r="BF91" s="32">
        <f t="shared" si="82"/>
        <v>25.865345390412045</v>
      </c>
      <c r="BG91" s="32">
        <f t="shared" si="83"/>
        <v>25.636254609587965</v>
      </c>
      <c r="BH91" s="32">
        <f t="shared" si="84"/>
        <v>25.808072695206025</v>
      </c>
      <c r="BI91" s="32">
        <f t="shared" si="85"/>
        <v>25.693527304793985</v>
      </c>
      <c r="BJ91" s="33">
        <f t="shared" si="53"/>
        <v>3.9999999999999147E-2</v>
      </c>
      <c r="BK91" s="34">
        <f t="shared" si="97"/>
        <v>3.6565656565656614E-2</v>
      </c>
      <c r="BL91" s="34">
        <f t="shared" si="98"/>
        <v>0</v>
      </c>
      <c r="BM91" s="34">
        <f t="shared" si="99"/>
        <v>0.11951850505050521</v>
      </c>
      <c r="BQ91" s="22">
        <v>84</v>
      </c>
      <c r="BR91" s="121" t="str">
        <f>IF(ISBLANK(Datos!B86),"",(ABS(Datos!B85-Datos!B86)))</f>
        <v/>
      </c>
      <c r="BS91" s="121" t="str">
        <f>IF(ISBLANK(Datos!C86),"",(ABS(Datos!C85-Datos!C86)))</f>
        <v/>
      </c>
      <c r="BT91" s="121" t="str">
        <f>IF(ISBLANK(Datos!D86),"",(ABS(Datos!D85-Datos!D86)))</f>
        <v/>
      </c>
      <c r="BU91" s="21" t="str">
        <f>IF(ISBLANK(Datos!E86),"",(ABS(Datos!E85-Datos!E86)))</f>
        <v/>
      </c>
    </row>
    <row r="92" spans="1:73" x14ac:dyDescent="0.3">
      <c r="A92" s="16">
        <v>85</v>
      </c>
      <c r="B92" s="35"/>
      <c r="C92" s="32" t="e">
        <f t="shared" si="54"/>
        <v>#DIV/0!</v>
      </c>
      <c r="D92" s="32" t="e">
        <f t="shared" si="55"/>
        <v>#DIV/0!</v>
      </c>
      <c r="E92" s="32" t="e">
        <f t="shared" si="56"/>
        <v>#DIV/0!</v>
      </c>
      <c r="F92" s="32" t="e">
        <f t="shared" si="57"/>
        <v>#DIV/0!</v>
      </c>
      <c r="G92" s="32" t="e">
        <f t="shared" si="58"/>
        <v>#DIV/0!</v>
      </c>
      <c r="H92" s="32" t="e">
        <f t="shared" si="59"/>
        <v>#DIV/0!</v>
      </c>
      <c r="I92" s="32" t="e">
        <f t="shared" si="60"/>
        <v>#DIV/0!</v>
      </c>
      <c r="J92" s="32" t="e">
        <f t="shared" si="61"/>
        <v>#DIV/0!</v>
      </c>
      <c r="K92" s="33">
        <f t="shared" si="52"/>
        <v>0</v>
      </c>
      <c r="L92" s="34">
        <f t="shared" si="86"/>
        <v>0</v>
      </c>
      <c r="M92" s="33">
        <f t="shared" si="87"/>
        <v>0</v>
      </c>
      <c r="N92" s="34">
        <f t="shared" si="88"/>
        <v>0</v>
      </c>
      <c r="R92" s="16">
        <v>85</v>
      </c>
      <c r="S92" s="35">
        <v>6.33</v>
      </c>
      <c r="T92" s="32">
        <f t="shared" si="62"/>
        <v>6.3964700000000017</v>
      </c>
      <c r="U92" s="32">
        <f t="shared" si="63"/>
        <v>4.3797618818166538E-2</v>
      </c>
      <c r="V92" s="32">
        <f t="shared" si="64"/>
        <v>6.5278628564545009</v>
      </c>
      <c r="W92" s="32">
        <f t="shared" si="65"/>
        <v>6.2650771435455024</v>
      </c>
      <c r="X92" s="32">
        <f t="shared" si="66"/>
        <v>6.4840652376363348</v>
      </c>
      <c r="Y92" s="32">
        <f t="shared" si="67"/>
        <v>6.3088747623636685</v>
      </c>
      <c r="Z92" s="32">
        <f t="shared" si="68"/>
        <v>6.4402676188181678</v>
      </c>
      <c r="AA92" s="32">
        <f t="shared" si="69"/>
        <v>6.3526723811818355</v>
      </c>
      <c r="AB92" s="33">
        <f t="shared" si="89"/>
        <v>4.9999999999999822E-2</v>
      </c>
      <c r="AC92" s="34">
        <f t="shared" si="90"/>
        <v>4.2444444444444479E-2</v>
      </c>
      <c r="AD92" s="33">
        <f t="shared" si="91"/>
        <v>0</v>
      </c>
      <c r="AE92" s="34">
        <f t="shared" si="92"/>
        <v>0.13873391111111122</v>
      </c>
      <c r="AI92" s="16">
        <v>85</v>
      </c>
      <c r="AJ92" s="84">
        <v>25.8</v>
      </c>
      <c r="AK92" s="32">
        <f t="shared" si="70"/>
        <v>25.808199999999989</v>
      </c>
      <c r="AL92" s="32">
        <f t="shared" si="71"/>
        <v>7.4500084739969288E-2</v>
      </c>
      <c r="AM92" s="32">
        <f t="shared" si="72"/>
        <v>26.031700254219896</v>
      </c>
      <c r="AN92" s="32">
        <f t="shared" si="73"/>
        <v>25.584699745780082</v>
      </c>
      <c r="AO92" s="32">
        <f t="shared" si="74"/>
        <v>25.957200169479929</v>
      </c>
      <c r="AP92" s="32">
        <f t="shared" si="75"/>
        <v>25.659199830520048</v>
      </c>
      <c r="AQ92" s="32">
        <f t="shared" si="76"/>
        <v>25.882700084739959</v>
      </c>
      <c r="AR92" s="32">
        <f t="shared" si="77"/>
        <v>25.733699915260019</v>
      </c>
      <c r="AS92" s="33">
        <f t="shared" si="93"/>
        <v>0.12000000000000099</v>
      </c>
      <c r="AT92" s="34">
        <f t="shared" si="94"/>
        <v>6.6666666666666249E-2</v>
      </c>
      <c r="AU92" s="34">
        <f t="shared" si="95"/>
        <v>0</v>
      </c>
      <c r="AV92" s="34">
        <f t="shared" si="96"/>
        <v>0.21790666666666531</v>
      </c>
      <c r="AZ92" s="16">
        <v>85</v>
      </c>
      <c r="BA92" s="35">
        <v>25.75</v>
      </c>
      <c r="BB92" s="32">
        <f t="shared" si="78"/>
        <v>25.750800000000005</v>
      </c>
      <c r="BC92" s="32">
        <f t="shared" si="79"/>
        <v>5.7272695206019339E-2</v>
      </c>
      <c r="BD92" s="32">
        <f t="shared" si="80"/>
        <v>25.922618085618062</v>
      </c>
      <c r="BE92" s="32">
        <f t="shared" si="81"/>
        <v>25.578981914381949</v>
      </c>
      <c r="BF92" s="32">
        <f t="shared" si="82"/>
        <v>25.865345390412045</v>
      </c>
      <c r="BG92" s="32">
        <f t="shared" si="83"/>
        <v>25.636254609587965</v>
      </c>
      <c r="BH92" s="32">
        <f t="shared" si="84"/>
        <v>25.808072695206025</v>
      </c>
      <c r="BI92" s="32">
        <f t="shared" si="85"/>
        <v>25.693527304793985</v>
      </c>
      <c r="BJ92" s="33">
        <f t="shared" si="53"/>
        <v>3.9999999999999147E-2</v>
      </c>
      <c r="BK92" s="34">
        <f t="shared" si="97"/>
        <v>3.6565656565656614E-2</v>
      </c>
      <c r="BL92" s="34">
        <f t="shared" si="98"/>
        <v>0</v>
      </c>
      <c r="BM92" s="34">
        <f t="shared" si="99"/>
        <v>0.11951850505050521</v>
      </c>
      <c r="BQ92" s="22">
        <v>85</v>
      </c>
      <c r="BR92" s="121" t="str">
        <f>IF(ISBLANK(Datos!B87),"",(ABS(Datos!B86-Datos!B87)))</f>
        <v/>
      </c>
      <c r="BS92" s="121" t="str">
        <f>IF(ISBLANK(Datos!C87),"",(ABS(Datos!C86-Datos!C87)))</f>
        <v/>
      </c>
      <c r="BT92" s="121" t="str">
        <f>IF(ISBLANK(Datos!D87),"",(ABS(Datos!D86-Datos!D87)))</f>
        <v/>
      </c>
      <c r="BU92" s="21" t="str">
        <f>IF(ISBLANK(Datos!E87),"",(ABS(Datos!E86-Datos!E87)))</f>
        <v/>
      </c>
    </row>
    <row r="93" spans="1:73" x14ac:dyDescent="0.3">
      <c r="A93" s="16">
        <v>86</v>
      </c>
      <c r="B93" s="35"/>
      <c r="C93" s="32" t="e">
        <f t="shared" si="54"/>
        <v>#DIV/0!</v>
      </c>
      <c r="D93" s="32" t="e">
        <f t="shared" si="55"/>
        <v>#DIV/0!</v>
      </c>
      <c r="E93" s="32" t="e">
        <f t="shared" si="56"/>
        <v>#DIV/0!</v>
      </c>
      <c r="F93" s="32" t="e">
        <f t="shared" si="57"/>
        <v>#DIV/0!</v>
      </c>
      <c r="G93" s="32" t="e">
        <f t="shared" si="58"/>
        <v>#DIV/0!</v>
      </c>
      <c r="H93" s="32" t="e">
        <f t="shared" si="59"/>
        <v>#DIV/0!</v>
      </c>
      <c r="I93" s="32" t="e">
        <f t="shared" si="60"/>
        <v>#DIV/0!</v>
      </c>
      <c r="J93" s="32" t="e">
        <f t="shared" si="61"/>
        <v>#DIV/0!</v>
      </c>
      <c r="K93" s="33">
        <f t="shared" si="52"/>
        <v>0</v>
      </c>
      <c r="L93" s="34">
        <f t="shared" si="86"/>
        <v>0</v>
      </c>
      <c r="M93" s="33">
        <f t="shared" si="87"/>
        <v>0</v>
      </c>
      <c r="N93" s="34">
        <f t="shared" si="88"/>
        <v>0</v>
      </c>
      <c r="R93" s="16">
        <v>86</v>
      </c>
      <c r="S93" s="35">
        <v>6.43</v>
      </c>
      <c r="T93" s="32">
        <f t="shared" si="62"/>
        <v>6.3964700000000017</v>
      </c>
      <c r="U93" s="32">
        <f t="shared" si="63"/>
        <v>4.3797618818166538E-2</v>
      </c>
      <c r="V93" s="32">
        <f t="shared" si="64"/>
        <v>6.5278628564545009</v>
      </c>
      <c r="W93" s="32">
        <f t="shared" si="65"/>
        <v>6.2650771435455024</v>
      </c>
      <c r="X93" s="32">
        <f t="shared" si="66"/>
        <v>6.4840652376363348</v>
      </c>
      <c r="Y93" s="32">
        <f t="shared" si="67"/>
        <v>6.3088747623636685</v>
      </c>
      <c r="Z93" s="32">
        <f t="shared" si="68"/>
        <v>6.4402676188181678</v>
      </c>
      <c r="AA93" s="32">
        <f t="shared" si="69"/>
        <v>6.3526723811818355</v>
      </c>
      <c r="AB93" s="33">
        <f t="shared" si="89"/>
        <v>9.9999999999999645E-2</v>
      </c>
      <c r="AC93" s="34">
        <f t="shared" si="90"/>
        <v>4.2444444444444479E-2</v>
      </c>
      <c r="AD93" s="33">
        <f t="shared" si="91"/>
        <v>0</v>
      </c>
      <c r="AE93" s="34">
        <f t="shared" si="92"/>
        <v>0.13873391111111122</v>
      </c>
      <c r="AI93" s="16">
        <v>86</v>
      </c>
      <c r="AJ93" s="84">
        <v>25.97</v>
      </c>
      <c r="AK93" s="32">
        <f t="shared" si="70"/>
        <v>25.808199999999989</v>
      </c>
      <c r="AL93" s="32">
        <f t="shared" si="71"/>
        <v>7.4500084739969288E-2</v>
      </c>
      <c r="AM93" s="32">
        <f t="shared" si="72"/>
        <v>26.031700254219896</v>
      </c>
      <c r="AN93" s="32">
        <f t="shared" si="73"/>
        <v>25.584699745780082</v>
      </c>
      <c r="AO93" s="32">
        <f t="shared" si="74"/>
        <v>25.957200169479929</v>
      </c>
      <c r="AP93" s="32">
        <f t="shared" si="75"/>
        <v>25.659199830520048</v>
      </c>
      <c r="AQ93" s="32">
        <f t="shared" si="76"/>
        <v>25.882700084739959</v>
      </c>
      <c r="AR93" s="32">
        <f t="shared" si="77"/>
        <v>25.733699915260019</v>
      </c>
      <c r="AS93" s="33">
        <f t="shared" si="93"/>
        <v>0.16999999999999815</v>
      </c>
      <c r="AT93" s="34">
        <f t="shared" si="94"/>
        <v>6.6666666666666249E-2</v>
      </c>
      <c r="AU93" s="34">
        <f t="shared" si="95"/>
        <v>0</v>
      </c>
      <c r="AV93" s="34">
        <f t="shared" si="96"/>
        <v>0.21790666666666531</v>
      </c>
      <c r="AZ93" s="16">
        <v>86</v>
      </c>
      <c r="BA93" s="35">
        <v>25.76</v>
      </c>
      <c r="BB93" s="32">
        <f t="shared" si="78"/>
        <v>25.750800000000005</v>
      </c>
      <c r="BC93" s="32">
        <f t="shared" si="79"/>
        <v>5.7272695206019339E-2</v>
      </c>
      <c r="BD93" s="32">
        <f t="shared" si="80"/>
        <v>25.922618085618062</v>
      </c>
      <c r="BE93" s="32">
        <f t="shared" si="81"/>
        <v>25.578981914381949</v>
      </c>
      <c r="BF93" s="32">
        <f t="shared" si="82"/>
        <v>25.865345390412045</v>
      </c>
      <c r="BG93" s="32">
        <f t="shared" si="83"/>
        <v>25.636254609587965</v>
      </c>
      <c r="BH93" s="32">
        <f t="shared" si="84"/>
        <v>25.808072695206025</v>
      </c>
      <c r="BI93" s="32">
        <f t="shared" si="85"/>
        <v>25.693527304793985</v>
      </c>
      <c r="BJ93" s="33">
        <f t="shared" si="53"/>
        <v>1.0000000000001563E-2</v>
      </c>
      <c r="BK93" s="34">
        <f t="shared" si="97"/>
        <v>3.6565656565656614E-2</v>
      </c>
      <c r="BL93" s="34">
        <f t="shared" si="98"/>
        <v>0</v>
      </c>
      <c r="BM93" s="34">
        <f t="shared" si="99"/>
        <v>0.11951850505050521</v>
      </c>
      <c r="BQ93" s="22">
        <v>86</v>
      </c>
      <c r="BR93" s="121" t="str">
        <f>IF(ISBLANK(Datos!B88),"",(ABS(Datos!B87-Datos!B88)))</f>
        <v/>
      </c>
      <c r="BS93" s="121" t="str">
        <f>IF(ISBLANK(Datos!C88),"",(ABS(Datos!C87-Datos!C88)))</f>
        <v/>
      </c>
      <c r="BT93" s="121" t="str">
        <f>IF(ISBLANK(Datos!D88),"",(ABS(Datos!D87-Datos!D88)))</f>
        <v/>
      </c>
      <c r="BU93" s="21" t="str">
        <f>IF(ISBLANK(Datos!E88),"",(ABS(Datos!E87-Datos!E88)))</f>
        <v/>
      </c>
    </row>
    <row r="94" spans="1:73" x14ac:dyDescent="0.3">
      <c r="A94" s="16">
        <v>87</v>
      </c>
      <c r="B94" s="35"/>
      <c r="C94" s="32" t="e">
        <f t="shared" si="54"/>
        <v>#DIV/0!</v>
      </c>
      <c r="D94" s="32" t="e">
        <f t="shared" si="55"/>
        <v>#DIV/0!</v>
      </c>
      <c r="E94" s="32" t="e">
        <f t="shared" si="56"/>
        <v>#DIV/0!</v>
      </c>
      <c r="F94" s="32" t="e">
        <f t="shared" si="57"/>
        <v>#DIV/0!</v>
      </c>
      <c r="G94" s="32" t="e">
        <f t="shared" si="58"/>
        <v>#DIV/0!</v>
      </c>
      <c r="H94" s="32" t="e">
        <f t="shared" si="59"/>
        <v>#DIV/0!</v>
      </c>
      <c r="I94" s="32" t="e">
        <f t="shared" si="60"/>
        <v>#DIV/0!</v>
      </c>
      <c r="J94" s="32" t="e">
        <f t="shared" si="61"/>
        <v>#DIV/0!</v>
      </c>
      <c r="K94" s="33">
        <f t="shared" si="52"/>
        <v>0</v>
      </c>
      <c r="L94" s="34">
        <f t="shared" si="86"/>
        <v>0</v>
      </c>
      <c r="M94" s="33">
        <f t="shared" si="87"/>
        <v>0</v>
      </c>
      <c r="N94" s="34">
        <f t="shared" si="88"/>
        <v>0</v>
      </c>
      <c r="R94" s="16">
        <v>87</v>
      </c>
      <c r="S94" s="35">
        <v>6.38</v>
      </c>
      <c r="T94" s="32">
        <f t="shared" si="62"/>
        <v>6.3964700000000017</v>
      </c>
      <c r="U94" s="32">
        <f t="shared" si="63"/>
        <v>4.3797618818166538E-2</v>
      </c>
      <c r="V94" s="32">
        <f t="shared" si="64"/>
        <v>6.5278628564545009</v>
      </c>
      <c r="W94" s="32">
        <f t="shared" si="65"/>
        <v>6.2650771435455024</v>
      </c>
      <c r="X94" s="32">
        <f t="shared" si="66"/>
        <v>6.4840652376363348</v>
      </c>
      <c r="Y94" s="32">
        <f t="shared" si="67"/>
        <v>6.3088747623636685</v>
      </c>
      <c r="Z94" s="32">
        <f t="shared" si="68"/>
        <v>6.4402676188181678</v>
      </c>
      <c r="AA94" s="32">
        <f t="shared" si="69"/>
        <v>6.3526723811818355</v>
      </c>
      <c r="AB94" s="33">
        <f t="shared" si="89"/>
        <v>4.9999999999999822E-2</v>
      </c>
      <c r="AC94" s="34">
        <f t="shared" si="90"/>
        <v>4.2444444444444479E-2</v>
      </c>
      <c r="AD94" s="33">
        <f t="shared" si="91"/>
        <v>0</v>
      </c>
      <c r="AE94" s="34">
        <f t="shared" si="92"/>
        <v>0.13873391111111122</v>
      </c>
      <c r="AI94" s="16">
        <v>87</v>
      </c>
      <c r="AJ94" s="84">
        <v>25.88</v>
      </c>
      <c r="AK94" s="32">
        <f t="shared" si="70"/>
        <v>25.808199999999989</v>
      </c>
      <c r="AL94" s="32">
        <f t="shared" si="71"/>
        <v>7.4500084739969288E-2</v>
      </c>
      <c r="AM94" s="32">
        <f t="shared" si="72"/>
        <v>26.031700254219896</v>
      </c>
      <c r="AN94" s="32">
        <f t="shared" si="73"/>
        <v>25.584699745780082</v>
      </c>
      <c r="AO94" s="32">
        <f t="shared" si="74"/>
        <v>25.957200169479929</v>
      </c>
      <c r="AP94" s="32">
        <f t="shared" si="75"/>
        <v>25.659199830520048</v>
      </c>
      <c r="AQ94" s="32">
        <f t="shared" si="76"/>
        <v>25.882700084739959</v>
      </c>
      <c r="AR94" s="32">
        <f t="shared" si="77"/>
        <v>25.733699915260019</v>
      </c>
      <c r="AS94" s="33">
        <f t="shared" si="93"/>
        <v>8.9999999999999858E-2</v>
      </c>
      <c r="AT94" s="34">
        <f t="shared" si="94"/>
        <v>6.6666666666666249E-2</v>
      </c>
      <c r="AU94" s="34">
        <f t="shared" si="95"/>
        <v>0</v>
      </c>
      <c r="AV94" s="34">
        <f t="shared" si="96"/>
        <v>0.21790666666666531</v>
      </c>
      <c r="AZ94" s="16">
        <v>87</v>
      </c>
      <c r="BA94" s="35">
        <v>25.79</v>
      </c>
      <c r="BB94" s="32">
        <f t="shared" si="78"/>
        <v>25.750800000000005</v>
      </c>
      <c r="BC94" s="32">
        <f t="shared" si="79"/>
        <v>5.7272695206019339E-2</v>
      </c>
      <c r="BD94" s="32">
        <f t="shared" si="80"/>
        <v>25.922618085618062</v>
      </c>
      <c r="BE94" s="32">
        <f t="shared" si="81"/>
        <v>25.578981914381949</v>
      </c>
      <c r="BF94" s="32">
        <f t="shared" si="82"/>
        <v>25.865345390412045</v>
      </c>
      <c r="BG94" s="32">
        <f t="shared" si="83"/>
        <v>25.636254609587965</v>
      </c>
      <c r="BH94" s="32">
        <f t="shared" si="84"/>
        <v>25.808072695206025</v>
      </c>
      <c r="BI94" s="32">
        <f t="shared" si="85"/>
        <v>25.693527304793985</v>
      </c>
      <c r="BJ94" s="33">
        <f t="shared" si="53"/>
        <v>2.9999999999997584E-2</v>
      </c>
      <c r="BK94" s="34">
        <f t="shared" si="97"/>
        <v>3.6565656565656614E-2</v>
      </c>
      <c r="BL94" s="34">
        <f t="shared" si="98"/>
        <v>0</v>
      </c>
      <c r="BM94" s="34">
        <f t="shared" si="99"/>
        <v>0.11951850505050521</v>
      </c>
      <c r="BQ94" s="22">
        <v>87</v>
      </c>
      <c r="BR94" s="121" t="str">
        <f>IF(ISBLANK(Datos!B89),"",(ABS(Datos!B88-Datos!B89)))</f>
        <v/>
      </c>
      <c r="BS94" s="121" t="str">
        <f>IF(ISBLANK(Datos!C89),"",(ABS(Datos!C88-Datos!C89)))</f>
        <v/>
      </c>
      <c r="BT94" s="121" t="str">
        <f>IF(ISBLANK(Datos!D89),"",(ABS(Datos!D88-Datos!D89)))</f>
        <v/>
      </c>
      <c r="BU94" s="21" t="str">
        <f>IF(ISBLANK(Datos!E89),"",(ABS(Datos!E88-Datos!E89)))</f>
        <v/>
      </c>
    </row>
    <row r="95" spans="1:73" x14ac:dyDescent="0.3">
      <c r="A95" s="16">
        <v>88</v>
      </c>
      <c r="B95" s="35"/>
      <c r="C95" s="32" t="e">
        <f t="shared" si="54"/>
        <v>#DIV/0!</v>
      </c>
      <c r="D95" s="32" t="e">
        <f t="shared" si="55"/>
        <v>#DIV/0!</v>
      </c>
      <c r="E95" s="32" t="e">
        <f t="shared" si="56"/>
        <v>#DIV/0!</v>
      </c>
      <c r="F95" s="32" t="e">
        <f t="shared" si="57"/>
        <v>#DIV/0!</v>
      </c>
      <c r="G95" s="32" t="e">
        <f t="shared" si="58"/>
        <v>#DIV/0!</v>
      </c>
      <c r="H95" s="32" t="e">
        <f t="shared" si="59"/>
        <v>#DIV/0!</v>
      </c>
      <c r="I95" s="32" t="e">
        <f t="shared" si="60"/>
        <v>#DIV/0!</v>
      </c>
      <c r="J95" s="32" t="e">
        <f t="shared" si="61"/>
        <v>#DIV/0!</v>
      </c>
      <c r="K95" s="33">
        <f t="shared" si="52"/>
        <v>0</v>
      </c>
      <c r="L95" s="34">
        <f t="shared" si="86"/>
        <v>0</v>
      </c>
      <c r="M95" s="33">
        <f t="shared" si="87"/>
        <v>0</v>
      </c>
      <c r="N95" s="34">
        <f t="shared" si="88"/>
        <v>0</v>
      </c>
      <c r="R95" s="16">
        <v>88</v>
      </c>
      <c r="S95" s="35">
        <v>6.35</v>
      </c>
      <c r="T95" s="32">
        <f t="shared" si="62"/>
        <v>6.3964700000000017</v>
      </c>
      <c r="U95" s="32">
        <f t="shared" si="63"/>
        <v>4.3797618818166538E-2</v>
      </c>
      <c r="V95" s="32">
        <f t="shared" si="64"/>
        <v>6.5278628564545009</v>
      </c>
      <c r="W95" s="32">
        <f t="shared" si="65"/>
        <v>6.2650771435455024</v>
      </c>
      <c r="X95" s="32">
        <f t="shared" si="66"/>
        <v>6.4840652376363348</v>
      </c>
      <c r="Y95" s="32">
        <f t="shared" si="67"/>
        <v>6.3088747623636685</v>
      </c>
      <c r="Z95" s="32">
        <f t="shared" si="68"/>
        <v>6.4402676188181678</v>
      </c>
      <c r="AA95" s="32">
        <f t="shared" si="69"/>
        <v>6.3526723811818355</v>
      </c>
      <c r="AB95" s="33">
        <f t="shared" si="89"/>
        <v>3.0000000000000249E-2</v>
      </c>
      <c r="AC95" s="34">
        <f t="shared" si="90"/>
        <v>4.2444444444444479E-2</v>
      </c>
      <c r="AD95" s="33">
        <f t="shared" si="91"/>
        <v>0</v>
      </c>
      <c r="AE95" s="34">
        <f t="shared" si="92"/>
        <v>0.13873391111111122</v>
      </c>
      <c r="AI95" s="16">
        <v>88</v>
      </c>
      <c r="AJ95" s="84">
        <v>25.87</v>
      </c>
      <c r="AK95" s="32">
        <f t="shared" si="70"/>
        <v>25.808199999999989</v>
      </c>
      <c r="AL95" s="32">
        <f t="shared" si="71"/>
        <v>7.4500084739969288E-2</v>
      </c>
      <c r="AM95" s="32">
        <f t="shared" si="72"/>
        <v>26.031700254219896</v>
      </c>
      <c r="AN95" s="32">
        <f t="shared" si="73"/>
        <v>25.584699745780082</v>
      </c>
      <c r="AO95" s="32">
        <f t="shared" si="74"/>
        <v>25.957200169479929</v>
      </c>
      <c r="AP95" s="32">
        <f t="shared" si="75"/>
        <v>25.659199830520048</v>
      </c>
      <c r="AQ95" s="32">
        <f t="shared" si="76"/>
        <v>25.882700084739959</v>
      </c>
      <c r="AR95" s="32">
        <f t="shared" si="77"/>
        <v>25.733699915260019</v>
      </c>
      <c r="AS95" s="33">
        <f t="shared" si="93"/>
        <v>9.9999999999980105E-3</v>
      </c>
      <c r="AT95" s="34">
        <f t="shared" si="94"/>
        <v>6.6666666666666249E-2</v>
      </c>
      <c r="AU95" s="34">
        <f t="shared" si="95"/>
        <v>0</v>
      </c>
      <c r="AV95" s="34">
        <f t="shared" si="96"/>
        <v>0.21790666666666531</v>
      </c>
      <c r="AZ95" s="16">
        <v>88</v>
      </c>
      <c r="BA95" s="35">
        <v>25.79</v>
      </c>
      <c r="BB95" s="32">
        <f t="shared" si="78"/>
        <v>25.750800000000005</v>
      </c>
      <c r="BC95" s="32">
        <f t="shared" si="79"/>
        <v>5.7272695206019339E-2</v>
      </c>
      <c r="BD95" s="32">
        <f t="shared" si="80"/>
        <v>25.922618085618062</v>
      </c>
      <c r="BE95" s="32">
        <f t="shared" si="81"/>
        <v>25.578981914381949</v>
      </c>
      <c r="BF95" s="32">
        <f t="shared" si="82"/>
        <v>25.865345390412045</v>
      </c>
      <c r="BG95" s="32">
        <f t="shared" si="83"/>
        <v>25.636254609587965</v>
      </c>
      <c r="BH95" s="32">
        <f t="shared" si="84"/>
        <v>25.808072695206025</v>
      </c>
      <c r="BI95" s="32">
        <f t="shared" si="85"/>
        <v>25.693527304793985</v>
      </c>
      <c r="BJ95" s="33">
        <f t="shared" si="53"/>
        <v>0</v>
      </c>
      <c r="BK95" s="34">
        <f t="shared" si="97"/>
        <v>3.6565656565656614E-2</v>
      </c>
      <c r="BL95" s="34">
        <f t="shared" si="98"/>
        <v>0</v>
      </c>
      <c r="BM95" s="34">
        <f t="shared" si="99"/>
        <v>0.11951850505050521</v>
      </c>
      <c r="BQ95" s="22">
        <v>88</v>
      </c>
      <c r="BR95" s="121" t="str">
        <f>IF(ISBLANK(Datos!B90),"",(ABS(Datos!B89-Datos!B90)))</f>
        <v/>
      </c>
      <c r="BS95" s="121" t="str">
        <f>IF(ISBLANK(Datos!C90),"",(ABS(Datos!C89-Datos!C90)))</f>
        <v/>
      </c>
      <c r="BT95" s="121" t="str">
        <f>IF(ISBLANK(Datos!D90),"",(ABS(Datos!D89-Datos!D90)))</f>
        <v/>
      </c>
      <c r="BU95" s="21" t="str">
        <f>IF(ISBLANK(Datos!E90),"",(ABS(Datos!E89-Datos!E90)))</f>
        <v/>
      </c>
    </row>
    <row r="96" spans="1:73" x14ac:dyDescent="0.3">
      <c r="A96" s="16">
        <v>89</v>
      </c>
      <c r="B96" s="35"/>
      <c r="C96" s="32" t="e">
        <f t="shared" si="54"/>
        <v>#DIV/0!</v>
      </c>
      <c r="D96" s="32" t="e">
        <f t="shared" si="55"/>
        <v>#DIV/0!</v>
      </c>
      <c r="E96" s="32" t="e">
        <f t="shared" si="56"/>
        <v>#DIV/0!</v>
      </c>
      <c r="F96" s="32" t="e">
        <f t="shared" si="57"/>
        <v>#DIV/0!</v>
      </c>
      <c r="G96" s="32" t="e">
        <f t="shared" si="58"/>
        <v>#DIV/0!</v>
      </c>
      <c r="H96" s="32" t="e">
        <f t="shared" si="59"/>
        <v>#DIV/0!</v>
      </c>
      <c r="I96" s="32" t="e">
        <f t="shared" si="60"/>
        <v>#DIV/0!</v>
      </c>
      <c r="J96" s="32" t="e">
        <f t="shared" si="61"/>
        <v>#DIV/0!</v>
      </c>
      <c r="K96" s="33">
        <f t="shared" si="52"/>
        <v>0</v>
      </c>
      <c r="L96" s="34">
        <f t="shared" si="86"/>
        <v>0</v>
      </c>
      <c r="M96" s="33">
        <f t="shared" si="87"/>
        <v>0</v>
      </c>
      <c r="N96" s="34">
        <f t="shared" si="88"/>
        <v>0</v>
      </c>
      <c r="R96" s="16">
        <v>89</v>
      </c>
      <c r="S96" s="35">
        <v>6.41</v>
      </c>
      <c r="T96" s="32">
        <f t="shared" si="62"/>
        <v>6.3964700000000017</v>
      </c>
      <c r="U96" s="32">
        <f t="shared" si="63"/>
        <v>4.3797618818166538E-2</v>
      </c>
      <c r="V96" s="32">
        <f t="shared" si="64"/>
        <v>6.5278628564545009</v>
      </c>
      <c r="W96" s="32">
        <f t="shared" si="65"/>
        <v>6.2650771435455024</v>
      </c>
      <c r="X96" s="32">
        <f t="shared" si="66"/>
        <v>6.4840652376363348</v>
      </c>
      <c r="Y96" s="32">
        <f t="shared" si="67"/>
        <v>6.3088747623636685</v>
      </c>
      <c r="Z96" s="32">
        <f t="shared" si="68"/>
        <v>6.4402676188181678</v>
      </c>
      <c r="AA96" s="32">
        <f t="shared" si="69"/>
        <v>6.3526723811818355</v>
      </c>
      <c r="AB96" s="33">
        <f t="shared" si="89"/>
        <v>6.0000000000000497E-2</v>
      </c>
      <c r="AC96" s="34">
        <f t="shared" si="90"/>
        <v>4.2444444444444479E-2</v>
      </c>
      <c r="AD96" s="33">
        <f t="shared" si="91"/>
        <v>0</v>
      </c>
      <c r="AE96" s="34">
        <f t="shared" si="92"/>
        <v>0.13873391111111122</v>
      </c>
      <c r="AI96" s="16">
        <v>89</v>
      </c>
      <c r="AJ96" s="84">
        <v>25.81</v>
      </c>
      <c r="AK96" s="32">
        <f t="shared" si="70"/>
        <v>25.808199999999989</v>
      </c>
      <c r="AL96" s="32">
        <f t="shared" si="71"/>
        <v>7.4500084739969288E-2</v>
      </c>
      <c r="AM96" s="32">
        <f t="shared" si="72"/>
        <v>26.031700254219896</v>
      </c>
      <c r="AN96" s="32">
        <f t="shared" si="73"/>
        <v>25.584699745780082</v>
      </c>
      <c r="AO96" s="32">
        <f t="shared" si="74"/>
        <v>25.957200169479929</v>
      </c>
      <c r="AP96" s="32">
        <f t="shared" si="75"/>
        <v>25.659199830520048</v>
      </c>
      <c r="AQ96" s="32">
        <f t="shared" si="76"/>
        <v>25.882700084739959</v>
      </c>
      <c r="AR96" s="32">
        <f t="shared" si="77"/>
        <v>25.733699915260019</v>
      </c>
      <c r="AS96" s="33">
        <f t="shared" si="93"/>
        <v>6.0000000000002274E-2</v>
      </c>
      <c r="AT96" s="34">
        <f t="shared" si="94"/>
        <v>6.6666666666666249E-2</v>
      </c>
      <c r="AU96" s="34">
        <f t="shared" si="95"/>
        <v>0</v>
      </c>
      <c r="AV96" s="34">
        <f t="shared" si="96"/>
        <v>0.21790666666666531</v>
      </c>
      <c r="AZ96" s="16">
        <v>89</v>
      </c>
      <c r="BA96" s="35">
        <v>25.74</v>
      </c>
      <c r="BB96" s="32">
        <f t="shared" si="78"/>
        <v>25.750800000000005</v>
      </c>
      <c r="BC96" s="32">
        <f t="shared" si="79"/>
        <v>5.7272695206019339E-2</v>
      </c>
      <c r="BD96" s="32">
        <f t="shared" si="80"/>
        <v>25.922618085618062</v>
      </c>
      <c r="BE96" s="32">
        <f t="shared" si="81"/>
        <v>25.578981914381949</v>
      </c>
      <c r="BF96" s="32">
        <f t="shared" si="82"/>
        <v>25.865345390412045</v>
      </c>
      <c r="BG96" s="32">
        <f t="shared" si="83"/>
        <v>25.636254609587965</v>
      </c>
      <c r="BH96" s="32">
        <f t="shared" si="84"/>
        <v>25.808072695206025</v>
      </c>
      <c r="BI96" s="32">
        <f t="shared" si="85"/>
        <v>25.693527304793985</v>
      </c>
      <c r="BJ96" s="33">
        <f t="shared" si="53"/>
        <v>5.0000000000000711E-2</v>
      </c>
      <c r="BK96" s="34">
        <f t="shared" si="97"/>
        <v>3.6565656565656614E-2</v>
      </c>
      <c r="BL96" s="34">
        <f t="shared" si="98"/>
        <v>0</v>
      </c>
      <c r="BM96" s="34">
        <f t="shared" si="99"/>
        <v>0.11951850505050521</v>
      </c>
      <c r="BQ96" s="22">
        <v>89</v>
      </c>
      <c r="BR96" s="121" t="str">
        <f>IF(ISBLANK(Datos!B91),"",(ABS(Datos!B90-Datos!B91)))</f>
        <v/>
      </c>
      <c r="BS96" s="121" t="str">
        <f>IF(ISBLANK(Datos!C91),"",(ABS(Datos!C90-Datos!C91)))</f>
        <v/>
      </c>
      <c r="BT96" s="121" t="str">
        <f>IF(ISBLANK(Datos!D91),"",(ABS(Datos!D90-Datos!D91)))</f>
        <v/>
      </c>
      <c r="BU96" s="21" t="str">
        <f>IF(ISBLANK(Datos!E91),"",(ABS(Datos!E90-Datos!E91)))</f>
        <v/>
      </c>
    </row>
    <row r="97" spans="1:73" x14ac:dyDescent="0.3">
      <c r="A97" s="16">
        <v>90</v>
      </c>
      <c r="B97" s="35"/>
      <c r="C97" s="32" t="e">
        <f t="shared" si="54"/>
        <v>#DIV/0!</v>
      </c>
      <c r="D97" s="32" t="e">
        <f t="shared" si="55"/>
        <v>#DIV/0!</v>
      </c>
      <c r="E97" s="32" t="e">
        <f t="shared" si="56"/>
        <v>#DIV/0!</v>
      </c>
      <c r="F97" s="32" t="e">
        <f t="shared" si="57"/>
        <v>#DIV/0!</v>
      </c>
      <c r="G97" s="32" t="e">
        <f t="shared" si="58"/>
        <v>#DIV/0!</v>
      </c>
      <c r="H97" s="32" t="e">
        <f t="shared" si="59"/>
        <v>#DIV/0!</v>
      </c>
      <c r="I97" s="32" t="e">
        <f t="shared" si="60"/>
        <v>#DIV/0!</v>
      </c>
      <c r="J97" s="32" t="e">
        <f t="shared" si="61"/>
        <v>#DIV/0!</v>
      </c>
      <c r="K97" s="33">
        <f t="shared" si="52"/>
        <v>0</v>
      </c>
      <c r="L97" s="34">
        <f t="shared" si="86"/>
        <v>0</v>
      </c>
      <c r="M97" s="33">
        <f t="shared" si="87"/>
        <v>0</v>
      </c>
      <c r="N97" s="34">
        <f t="shared" si="88"/>
        <v>0</v>
      </c>
      <c r="R97" s="16">
        <v>90</v>
      </c>
      <c r="S97" s="35">
        <v>6.39</v>
      </c>
      <c r="T97" s="32">
        <f t="shared" si="62"/>
        <v>6.3964700000000017</v>
      </c>
      <c r="U97" s="32">
        <f t="shared" si="63"/>
        <v>4.3797618818166538E-2</v>
      </c>
      <c r="V97" s="32">
        <f t="shared" si="64"/>
        <v>6.5278628564545009</v>
      </c>
      <c r="W97" s="32">
        <f t="shared" si="65"/>
        <v>6.2650771435455024</v>
      </c>
      <c r="X97" s="32">
        <f t="shared" si="66"/>
        <v>6.4840652376363348</v>
      </c>
      <c r="Y97" s="32">
        <f t="shared" si="67"/>
        <v>6.3088747623636685</v>
      </c>
      <c r="Z97" s="32">
        <f t="shared" si="68"/>
        <v>6.4402676188181678</v>
      </c>
      <c r="AA97" s="32">
        <f t="shared" si="69"/>
        <v>6.3526723811818355</v>
      </c>
      <c r="AB97" s="33">
        <f t="shared" si="89"/>
        <v>2.0000000000000462E-2</v>
      </c>
      <c r="AC97" s="34">
        <f t="shared" si="90"/>
        <v>4.2444444444444479E-2</v>
      </c>
      <c r="AD97" s="33">
        <f t="shared" si="91"/>
        <v>0</v>
      </c>
      <c r="AE97" s="34">
        <f t="shared" si="92"/>
        <v>0.13873391111111122</v>
      </c>
      <c r="AI97" s="16">
        <v>90</v>
      </c>
      <c r="AJ97" s="84">
        <v>25.86</v>
      </c>
      <c r="AK97" s="32">
        <f t="shared" si="70"/>
        <v>25.808199999999989</v>
      </c>
      <c r="AL97" s="32">
        <f t="shared" si="71"/>
        <v>7.4500084739969288E-2</v>
      </c>
      <c r="AM97" s="32">
        <f t="shared" si="72"/>
        <v>26.031700254219896</v>
      </c>
      <c r="AN97" s="32">
        <f t="shared" si="73"/>
        <v>25.584699745780082</v>
      </c>
      <c r="AO97" s="32">
        <f t="shared" si="74"/>
        <v>25.957200169479929</v>
      </c>
      <c r="AP97" s="32">
        <f t="shared" si="75"/>
        <v>25.659199830520048</v>
      </c>
      <c r="AQ97" s="32">
        <f t="shared" si="76"/>
        <v>25.882700084739959</v>
      </c>
      <c r="AR97" s="32">
        <f t="shared" si="77"/>
        <v>25.733699915260019</v>
      </c>
      <c r="AS97" s="33">
        <f t="shared" si="93"/>
        <v>5.0000000000000711E-2</v>
      </c>
      <c r="AT97" s="34">
        <f t="shared" si="94"/>
        <v>6.6666666666666249E-2</v>
      </c>
      <c r="AU97" s="34">
        <f t="shared" si="95"/>
        <v>0</v>
      </c>
      <c r="AV97" s="34">
        <f t="shared" si="96"/>
        <v>0.21790666666666531</v>
      </c>
      <c r="AZ97" s="16">
        <v>90</v>
      </c>
      <c r="BA97" s="35">
        <v>25.82</v>
      </c>
      <c r="BB97" s="32">
        <f t="shared" si="78"/>
        <v>25.750800000000005</v>
      </c>
      <c r="BC97" s="32">
        <f t="shared" si="79"/>
        <v>5.7272695206019339E-2</v>
      </c>
      <c r="BD97" s="32">
        <f t="shared" si="80"/>
        <v>25.922618085618062</v>
      </c>
      <c r="BE97" s="32">
        <f t="shared" si="81"/>
        <v>25.578981914381949</v>
      </c>
      <c r="BF97" s="32">
        <f t="shared" si="82"/>
        <v>25.865345390412045</v>
      </c>
      <c r="BG97" s="32">
        <f t="shared" si="83"/>
        <v>25.636254609587965</v>
      </c>
      <c r="BH97" s="32">
        <f t="shared" si="84"/>
        <v>25.808072695206025</v>
      </c>
      <c r="BI97" s="32">
        <f t="shared" si="85"/>
        <v>25.693527304793985</v>
      </c>
      <c r="BJ97" s="33">
        <f t="shared" si="53"/>
        <v>8.0000000000001847E-2</v>
      </c>
      <c r="BK97" s="34">
        <f t="shared" si="97"/>
        <v>3.6565656565656614E-2</v>
      </c>
      <c r="BL97" s="34">
        <f t="shared" si="98"/>
        <v>0</v>
      </c>
      <c r="BM97" s="34">
        <f t="shared" si="99"/>
        <v>0.11951850505050521</v>
      </c>
      <c r="BQ97" s="22">
        <v>90</v>
      </c>
      <c r="BR97" s="121" t="str">
        <f>IF(ISBLANK(Datos!B92),"",(ABS(Datos!B91-Datos!B92)))</f>
        <v/>
      </c>
      <c r="BS97" s="121" t="str">
        <f>IF(ISBLANK(Datos!C92),"",(ABS(Datos!C91-Datos!C92)))</f>
        <v/>
      </c>
      <c r="BT97" s="121" t="str">
        <f>IF(ISBLANK(Datos!D92),"",(ABS(Datos!D91-Datos!D92)))</f>
        <v/>
      </c>
      <c r="BU97" s="21" t="str">
        <f>IF(ISBLANK(Datos!E92),"",(ABS(Datos!E91-Datos!E92)))</f>
        <v/>
      </c>
    </row>
    <row r="98" spans="1:73" x14ac:dyDescent="0.3">
      <c r="A98" s="16">
        <v>91</v>
      </c>
      <c r="B98" s="35"/>
      <c r="C98" s="32" t="e">
        <f t="shared" si="54"/>
        <v>#DIV/0!</v>
      </c>
      <c r="D98" s="32" t="e">
        <f t="shared" si="55"/>
        <v>#DIV/0!</v>
      </c>
      <c r="E98" s="32" t="e">
        <f t="shared" si="56"/>
        <v>#DIV/0!</v>
      </c>
      <c r="F98" s="32" t="e">
        <f t="shared" si="57"/>
        <v>#DIV/0!</v>
      </c>
      <c r="G98" s="32" t="e">
        <f t="shared" si="58"/>
        <v>#DIV/0!</v>
      </c>
      <c r="H98" s="32" t="e">
        <f t="shared" si="59"/>
        <v>#DIV/0!</v>
      </c>
      <c r="I98" s="32" t="e">
        <f t="shared" si="60"/>
        <v>#DIV/0!</v>
      </c>
      <c r="J98" s="32" t="e">
        <f t="shared" si="61"/>
        <v>#DIV/0!</v>
      </c>
      <c r="K98" s="33">
        <f t="shared" si="52"/>
        <v>0</v>
      </c>
      <c r="L98" s="34">
        <f t="shared" si="86"/>
        <v>0</v>
      </c>
      <c r="M98" s="33">
        <f t="shared" si="87"/>
        <v>0</v>
      </c>
      <c r="N98" s="34">
        <f t="shared" si="88"/>
        <v>0</v>
      </c>
      <c r="R98" s="16">
        <v>91</v>
      </c>
      <c r="S98" s="35">
        <v>6.36</v>
      </c>
      <c r="T98" s="32">
        <f t="shared" si="62"/>
        <v>6.3964700000000017</v>
      </c>
      <c r="U98" s="32">
        <f t="shared" si="63"/>
        <v>4.3797618818166538E-2</v>
      </c>
      <c r="V98" s="32">
        <f t="shared" si="64"/>
        <v>6.5278628564545009</v>
      </c>
      <c r="W98" s="32">
        <f t="shared" si="65"/>
        <v>6.2650771435455024</v>
      </c>
      <c r="X98" s="32">
        <f t="shared" si="66"/>
        <v>6.4840652376363348</v>
      </c>
      <c r="Y98" s="32">
        <f t="shared" si="67"/>
        <v>6.3088747623636685</v>
      </c>
      <c r="Z98" s="32">
        <f t="shared" si="68"/>
        <v>6.4402676188181678</v>
      </c>
      <c r="AA98" s="32">
        <f t="shared" si="69"/>
        <v>6.3526723811818355</v>
      </c>
      <c r="AB98" s="33">
        <f t="shared" si="89"/>
        <v>2.9999999999999361E-2</v>
      </c>
      <c r="AC98" s="34">
        <f t="shared" si="90"/>
        <v>4.2444444444444479E-2</v>
      </c>
      <c r="AD98" s="33">
        <f t="shared" si="91"/>
        <v>0</v>
      </c>
      <c r="AE98" s="34">
        <f t="shared" si="92"/>
        <v>0.13873391111111122</v>
      </c>
      <c r="AI98" s="16">
        <v>91</v>
      </c>
      <c r="AJ98" s="84">
        <v>25.79</v>
      </c>
      <c r="AK98" s="32">
        <f t="shared" si="70"/>
        <v>25.808199999999989</v>
      </c>
      <c r="AL98" s="32">
        <f t="shared" si="71"/>
        <v>7.4500084739969288E-2</v>
      </c>
      <c r="AM98" s="32">
        <f t="shared" si="72"/>
        <v>26.031700254219896</v>
      </c>
      <c r="AN98" s="32">
        <f t="shared" si="73"/>
        <v>25.584699745780082</v>
      </c>
      <c r="AO98" s="32">
        <f t="shared" si="74"/>
        <v>25.957200169479929</v>
      </c>
      <c r="AP98" s="32">
        <f t="shared" si="75"/>
        <v>25.659199830520048</v>
      </c>
      <c r="AQ98" s="32">
        <f t="shared" si="76"/>
        <v>25.882700084739959</v>
      </c>
      <c r="AR98" s="32">
        <f t="shared" si="77"/>
        <v>25.733699915260019</v>
      </c>
      <c r="AS98" s="33">
        <f t="shared" si="93"/>
        <v>7.0000000000000284E-2</v>
      </c>
      <c r="AT98" s="34">
        <f t="shared" si="94"/>
        <v>6.6666666666666249E-2</v>
      </c>
      <c r="AU98" s="34">
        <f t="shared" si="95"/>
        <v>0</v>
      </c>
      <c r="AV98" s="34">
        <f t="shared" si="96"/>
        <v>0.21790666666666531</v>
      </c>
      <c r="AZ98" s="16">
        <v>91</v>
      </c>
      <c r="BA98" s="35">
        <v>25.76</v>
      </c>
      <c r="BB98" s="32">
        <f t="shared" si="78"/>
        <v>25.750800000000005</v>
      </c>
      <c r="BC98" s="32">
        <f t="shared" si="79"/>
        <v>5.7272695206019339E-2</v>
      </c>
      <c r="BD98" s="32">
        <f t="shared" si="80"/>
        <v>25.922618085618062</v>
      </c>
      <c r="BE98" s="32">
        <f t="shared" si="81"/>
        <v>25.578981914381949</v>
      </c>
      <c r="BF98" s="32">
        <f t="shared" si="82"/>
        <v>25.865345390412045</v>
      </c>
      <c r="BG98" s="32">
        <f t="shared" si="83"/>
        <v>25.636254609587965</v>
      </c>
      <c r="BH98" s="32">
        <f t="shared" si="84"/>
        <v>25.808072695206025</v>
      </c>
      <c r="BI98" s="32">
        <f t="shared" si="85"/>
        <v>25.693527304793985</v>
      </c>
      <c r="BJ98" s="33">
        <f t="shared" si="53"/>
        <v>5.9999999999998721E-2</v>
      </c>
      <c r="BK98" s="34">
        <f t="shared" si="97"/>
        <v>3.6565656565656614E-2</v>
      </c>
      <c r="BL98" s="34">
        <f t="shared" si="98"/>
        <v>0</v>
      </c>
      <c r="BM98" s="34">
        <f t="shared" si="99"/>
        <v>0.11951850505050521</v>
      </c>
      <c r="BQ98" s="22">
        <v>91</v>
      </c>
      <c r="BR98" s="121" t="str">
        <f>IF(ISBLANK(Datos!B93),"",(ABS(Datos!B92-Datos!B93)))</f>
        <v/>
      </c>
      <c r="BS98" s="121" t="str">
        <f>IF(ISBLANK(Datos!C93),"",(ABS(Datos!C92-Datos!C93)))</f>
        <v/>
      </c>
      <c r="BT98" s="121" t="str">
        <f>IF(ISBLANK(Datos!D93),"",(ABS(Datos!D92-Datos!D93)))</f>
        <v/>
      </c>
      <c r="BU98" s="21" t="str">
        <f>IF(ISBLANK(Datos!E93),"",(ABS(Datos!E92-Datos!E93)))</f>
        <v/>
      </c>
    </row>
    <row r="99" spans="1:73" x14ac:dyDescent="0.3">
      <c r="A99" s="16">
        <v>92</v>
      </c>
      <c r="B99" s="35"/>
      <c r="C99" s="32" t="e">
        <f t="shared" si="54"/>
        <v>#DIV/0!</v>
      </c>
      <c r="D99" s="32" t="e">
        <f t="shared" si="55"/>
        <v>#DIV/0!</v>
      </c>
      <c r="E99" s="32" t="e">
        <f t="shared" si="56"/>
        <v>#DIV/0!</v>
      </c>
      <c r="F99" s="32" t="e">
        <f t="shared" si="57"/>
        <v>#DIV/0!</v>
      </c>
      <c r="G99" s="32" t="e">
        <f t="shared" si="58"/>
        <v>#DIV/0!</v>
      </c>
      <c r="H99" s="32" t="e">
        <f t="shared" si="59"/>
        <v>#DIV/0!</v>
      </c>
      <c r="I99" s="32" t="e">
        <f t="shared" si="60"/>
        <v>#DIV/0!</v>
      </c>
      <c r="J99" s="32" t="e">
        <f t="shared" si="61"/>
        <v>#DIV/0!</v>
      </c>
      <c r="K99" s="33">
        <f t="shared" si="52"/>
        <v>0</v>
      </c>
      <c r="L99" s="34">
        <f t="shared" si="86"/>
        <v>0</v>
      </c>
      <c r="M99" s="33">
        <f t="shared" si="87"/>
        <v>0</v>
      </c>
      <c r="N99" s="34">
        <f t="shared" si="88"/>
        <v>0</v>
      </c>
      <c r="R99" s="16">
        <v>92</v>
      </c>
      <c r="S99" s="35">
        <v>6.39</v>
      </c>
      <c r="T99" s="32">
        <f t="shared" si="62"/>
        <v>6.3964700000000017</v>
      </c>
      <c r="U99" s="32">
        <f t="shared" si="63"/>
        <v>4.3797618818166538E-2</v>
      </c>
      <c r="V99" s="32">
        <f t="shared" si="64"/>
        <v>6.5278628564545009</v>
      </c>
      <c r="W99" s="32">
        <f t="shared" si="65"/>
        <v>6.2650771435455024</v>
      </c>
      <c r="X99" s="32">
        <f t="shared" si="66"/>
        <v>6.4840652376363348</v>
      </c>
      <c r="Y99" s="32">
        <f t="shared" si="67"/>
        <v>6.3088747623636685</v>
      </c>
      <c r="Z99" s="32">
        <f t="shared" si="68"/>
        <v>6.4402676188181678</v>
      </c>
      <c r="AA99" s="32">
        <f t="shared" si="69"/>
        <v>6.3526723811818355</v>
      </c>
      <c r="AB99" s="33">
        <f t="shared" si="89"/>
        <v>2.9999999999999361E-2</v>
      </c>
      <c r="AC99" s="34">
        <f t="shared" si="90"/>
        <v>4.2444444444444479E-2</v>
      </c>
      <c r="AD99" s="33">
        <f t="shared" si="91"/>
        <v>0</v>
      </c>
      <c r="AE99" s="34">
        <f t="shared" si="92"/>
        <v>0.13873391111111122</v>
      </c>
      <c r="AI99" s="16">
        <v>92</v>
      </c>
      <c r="AJ99" s="84">
        <v>25.85</v>
      </c>
      <c r="AK99" s="32">
        <f t="shared" si="70"/>
        <v>25.808199999999989</v>
      </c>
      <c r="AL99" s="32">
        <f t="shared" si="71"/>
        <v>7.4500084739969288E-2</v>
      </c>
      <c r="AM99" s="32">
        <f t="shared" si="72"/>
        <v>26.031700254219896</v>
      </c>
      <c r="AN99" s="32">
        <f t="shared" si="73"/>
        <v>25.584699745780082</v>
      </c>
      <c r="AO99" s="32">
        <f t="shared" si="74"/>
        <v>25.957200169479929</v>
      </c>
      <c r="AP99" s="32">
        <f t="shared" si="75"/>
        <v>25.659199830520048</v>
      </c>
      <c r="AQ99" s="32">
        <f t="shared" si="76"/>
        <v>25.882700084739959</v>
      </c>
      <c r="AR99" s="32">
        <f t="shared" si="77"/>
        <v>25.733699915260019</v>
      </c>
      <c r="AS99" s="33">
        <f t="shared" si="93"/>
        <v>6.0000000000002274E-2</v>
      </c>
      <c r="AT99" s="34">
        <f t="shared" si="94"/>
        <v>6.6666666666666249E-2</v>
      </c>
      <c r="AU99" s="34">
        <f t="shared" si="95"/>
        <v>0</v>
      </c>
      <c r="AV99" s="34">
        <f t="shared" si="96"/>
        <v>0.21790666666666531</v>
      </c>
      <c r="AZ99" s="16">
        <v>92</v>
      </c>
      <c r="BA99" s="35">
        <v>25.79</v>
      </c>
      <c r="BB99" s="32">
        <f t="shared" si="78"/>
        <v>25.750800000000005</v>
      </c>
      <c r="BC99" s="32">
        <f t="shared" si="79"/>
        <v>5.7272695206019339E-2</v>
      </c>
      <c r="BD99" s="32">
        <f t="shared" si="80"/>
        <v>25.922618085618062</v>
      </c>
      <c r="BE99" s="32">
        <f t="shared" si="81"/>
        <v>25.578981914381949</v>
      </c>
      <c r="BF99" s="32">
        <f t="shared" si="82"/>
        <v>25.865345390412045</v>
      </c>
      <c r="BG99" s="32">
        <f t="shared" si="83"/>
        <v>25.636254609587965</v>
      </c>
      <c r="BH99" s="32">
        <f t="shared" si="84"/>
        <v>25.808072695206025</v>
      </c>
      <c r="BI99" s="32">
        <f t="shared" si="85"/>
        <v>25.693527304793985</v>
      </c>
      <c r="BJ99" s="33">
        <f t="shared" si="53"/>
        <v>2.9999999999997584E-2</v>
      </c>
      <c r="BK99" s="34">
        <f t="shared" si="97"/>
        <v>3.6565656565656614E-2</v>
      </c>
      <c r="BL99" s="34">
        <f t="shared" si="98"/>
        <v>0</v>
      </c>
      <c r="BM99" s="34">
        <f t="shared" si="99"/>
        <v>0.11951850505050521</v>
      </c>
      <c r="BQ99" s="22">
        <v>92</v>
      </c>
      <c r="BR99" s="121" t="str">
        <f>IF(ISBLANK(Datos!B94),"",(ABS(Datos!B93-Datos!B94)))</f>
        <v/>
      </c>
      <c r="BS99" s="121" t="str">
        <f>IF(ISBLANK(Datos!C94),"",(ABS(Datos!C93-Datos!C94)))</f>
        <v/>
      </c>
      <c r="BT99" s="121" t="str">
        <f>IF(ISBLANK(Datos!D94),"",(ABS(Datos!D93-Datos!D94)))</f>
        <v/>
      </c>
      <c r="BU99" s="21" t="str">
        <f>IF(ISBLANK(Datos!E94),"",(ABS(Datos!E93-Datos!E94)))</f>
        <v/>
      </c>
    </row>
    <row r="100" spans="1:73" x14ac:dyDescent="0.3">
      <c r="A100" s="16">
        <v>93</v>
      </c>
      <c r="B100" s="35"/>
      <c r="C100" s="32" t="e">
        <f t="shared" si="54"/>
        <v>#DIV/0!</v>
      </c>
      <c r="D100" s="32" t="e">
        <f t="shared" si="55"/>
        <v>#DIV/0!</v>
      </c>
      <c r="E100" s="32" t="e">
        <f t="shared" si="56"/>
        <v>#DIV/0!</v>
      </c>
      <c r="F100" s="32" t="e">
        <f t="shared" si="57"/>
        <v>#DIV/0!</v>
      </c>
      <c r="G100" s="32" t="e">
        <f t="shared" si="58"/>
        <v>#DIV/0!</v>
      </c>
      <c r="H100" s="32" t="e">
        <f t="shared" si="59"/>
        <v>#DIV/0!</v>
      </c>
      <c r="I100" s="32" t="e">
        <f t="shared" si="60"/>
        <v>#DIV/0!</v>
      </c>
      <c r="J100" s="32" t="e">
        <f t="shared" si="61"/>
        <v>#DIV/0!</v>
      </c>
      <c r="K100" s="33">
        <f t="shared" si="52"/>
        <v>0</v>
      </c>
      <c r="L100" s="34">
        <f t="shared" si="86"/>
        <v>0</v>
      </c>
      <c r="M100" s="33">
        <f t="shared" si="87"/>
        <v>0</v>
      </c>
      <c r="N100" s="34">
        <f t="shared" si="88"/>
        <v>0</v>
      </c>
      <c r="R100" s="16">
        <v>93</v>
      </c>
      <c r="S100" s="35">
        <v>6.41</v>
      </c>
      <c r="T100" s="32">
        <f t="shared" si="62"/>
        <v>6.3964700000000017</v>
      </c>
      <c r="U100" s="32">
        <f t="shared" si="63"/>
        <v>4.3797618818166538E-2</v>
      </c>
      <c r="V100" s="32">
        <f t="shared" si="64"/>
        <v>6.5278628564545009</v>
      </c>
      <c r="W100" s="32">
        <f t="shared" si="65"/>
        <v>6.2650771435455024</v>
      </c>
      <c r="X100" s="32">
        <f t="shared" si="66"/>
        <v>6.4840652376363348</v>
      </c>
      <c r="Y100" s="32">
        <f t="shared" si="67"/>
        <v>6.3088747623636685</v>
      </c>
      <c r="Z100" s="32">
        <f t="shared" si="68"/>
        <v>6.4402676188181678</v>
      </c>
      <c r="AA100" s="32">
        <f t="shared" si="69"/>
        <v>6.3526723811818355</v>
      </c>
      <c r="AB100" s="33">
        <f t="shared" si="89"/>
        <v>2.0000000000000462E-2</v>
      </c>
      <c r="AC100" s="34">
        <f t="shared" si="90"/>
        <v>4.2444444444444479E-2</v>
      </c>
      <c r="AD100" s="33">
        <f t="shared" si="91"/>
        <v>0</v>
      </c>
      <c r="AE100" s="34">
        <f t="shared" si="92"/>
        <v>0.13873391111111122</v>
      </c>
      <c r="AI100" s="16">
        <v>93</v>
      </c>
      <c r="AJ100" s="84">
        <v>25.88</v>
      </c>
      <c r="AK100" s="32">
        <f t="shared" si="70"/>
        <v>25.808199999999989</v>
      </c>
      <c r="AL100" s="32">
        <f t="shared" si="71"/>
        <v>7.4500084739969288E-2</v>
      </c>
      <c r="AM100" s="32">
        <f t="shared" si="72"/>
        <v>26.031700254219896</v>
      </c>
      <c r="AN100" s="32">
        <f t="shared" si="73"/>
        <v>25.584699745780082</v>
      </c>
      <c r="AO100" s="32">
        <f t="shared" si="74"/>
        <v>25.957200169479929</v>
      </c>
      <c r="AP100" s="32">
        <f t="shared" si="75"/>
        <v>25.659199830520048</v>
      </c>
      <c r="AQ100" s="32">
        <f t="shared" si="76"/>
        <v>25.882700084739959</v>
      </c>
      <c r="AR100" s="32">
        <f t="shared" si="77"/>
        <v>25.733699915260019</v>
      </c>
      <c r="AS100" s="33">
        <f t="shared" si="93"/>
        <v>2.9999999999997584E-2</v>
      </c>
      <c r="AT100" s="34">
        <f t="shared" si="94"/>
        <v>6.6666666666666249E-2</v>
      </c>
      <c r="AU100" s="34">
        <f t="shared" si="95"/>
        <v>0</v>
      </c>
      <c r="AV100" s="34">
        <f t="shared" si="96"/>
        <v>0.21790666666666531</v>
      </c>
      <c r="AZ100" s="16">
        <v>93</v>
      </c>
      <c r="BA100" s="35">
        <v>25.8</v>
      </c>
      <c r="BB100" s="32">
        <f t="shared" si="78"/>
        <v>25.750800000000005</v>
      </c>
      <c r="BC100" s="32">
        <f t="shared" si="79"/>
        <v>5.7272695206019339E-2</v>
      </c>
      <c r="BD100" s="32">
        <f t="shared" si="80"/>
        <v>25.922618085618062</v>
      </c>
      <c r="BE100" s="32">
        <f t="shared" si="81"/>
        <v>25.578981914381949</v>
      </c>
      <c r="BF100" s="32">
        <f t="shared" si="82"/>
        <v>25.865345390412045</v>
      </c>
      <c r="BG100" s="32">
        <f t="shared" si="83"/>
        <v>25.636254609587965</v>
      </c>
      <c r="BH100" s="32">
        <f t="shared" si="84"/>
        <v>25.808072695206025</v>
      </c>
      <c r="BI100" s="32">
        <f t="shared" si="85"/>
        <v>25.693527304793985</v>
      </c>
      <c r="BJ100" s="33">
        <f t="shared" si="53"/>
        <v>1.0000000000001563E-2</v>
      </c>
      <c r="BK100" s="34">
        <f t="shared" si="97"/>
        <v>3.6565656565656614E-2</v>
      </c>
      <c r="BL100" s="34">
        <f t="shared" si="98"/>
        <v>0</v>
      </c>
      <c r="BM100" s="34">
        <f t="shared" si="99"/>
        <v>0.11951850505050521</v>
      </c>
      <c r="BQ100" s="22">
        <v>93</v>
      </c>
      <c r="BR100" s="121" t="str">
        <f>IF(ISBLANK(Datos!B95),"",(ABS(Datos!B94-Datos!B95)))</f>
        <v/>
      </c>
      <c r="BS100" s="121" t="str">
        <f>IF(ISBLANK(Datos!C95),"",(ABS(Datos!C94-Datos!C95)))</f>
        <v/>
      </c>
      <c r="BT100" s="121" t="str">
        <f>IF(ISBLANK(Datos!D95),"",(ABS(Datos!D94-Datos!D95)))</f>
        <v/>
      </c>
      <c r="BU100" s="21" t="str">
        <f>IF(ISBLANK(Datos!E95),"",(ABS(Datos!E94-Datos!E95)))</f>
        <v/>
      </c>
    </row>
    <row r="101" spans="1:73" x14ac:dyDescent="0.3">
      <c r="A101" s="16">
        <v>94</v>
      </c>
      <c r="B101" s="35"/>
      <c r="C101" s="32" t="e">
        <f t="shared" si="54"/>
        <v>#DIV/0!</v>
      </c>
      <c r="D101" s="32" t="e">
        <f t="shared" si="55"/>
        <v>#DIV/0!</v>
      </c>
      <c r="E101" s="32" t="e">
        <f t="shared" si="56"/>
        <v>#DIV/0!</v>
      </c>
      <c r="F101" s="32" t="e">
        <f t="shared" si="57"/>
        <v>#DIV/0!</v>
      </c>
      <c r="G101" s="32" t="e">
        <f t="shared" si="58"/>
        <v>#DIV/0!</v>
      </c>
      <c r="H101" s="32" t="e">
        <f t="shared" si="59"/>
        <v>#DIV/0!</v>
      </c>
      <c r="I101" s="32" t="e">
        <f t="shared" si="60"/>
        <v>#DIV/0!</v>
      </c>
      <c r="J101" s="32" t="e">
        <f t="shared" si="61"/>
        <v>#DIV/0!</v>
      </c>
      <c r="K101" s="33">
        <f t="shared" ref="K101:K157" si="100">ABS(B100-B101)</f>
        <v>0</v>
      </c>
      <c r="L101" s="34">
        <f t="shared" si="86"/>
        <v>0</v>
      </c>
      <c r="M101" s="33">
        <f t="shared" si="87"/>
        <v>0</v>
      </c>
      <c r="N101" s="34">
        <f t="shared" si="88"/>
        <v>0</v>
      </c>
      <c r="R101" s="16">
        <v>94</v>
      </c>
      <c r="S101" s="35">
        <v>6.43</v>
      </c>
      <c r="T101" s="32">
        <f t="shared" si="62"/>
        <v>6.3964700000000017</v>
      </c>
      <c r="U101" s="32">
        <f t="shared" si="63"/>
        <v>4.3797618818166538E-2</v>
      </c>
      <c r="V101" s="32">
        <f t="shared" si="64"/>
        <v>6.5278628564545009</v>
      </c>
      <c r="W101" s="32">
        <f t="shared" si="65"/>
        <v>6.2650771435455024</v>
      </c>
      <c r="X101" s="32">
        <f t="shared" si="66"/>
        <v>6.4840652376363348</v>
      </c>
      <c r="Y101" s="32">
        <f t="shared" si="67"/>
        <v>6.3088747623636685</v>
      </c>
      <c r="Z101" s="32">
        <f t="shared" si="68"/>
        <v>6.4402676188181678</v>
      </c>
      <c r="AA101" s="32">
        <f t="shared" si="69"/>
        <v>6.3526723811818355</v>
      </c>
      <c r="AB101" s="33">
        <f t="shared" si="89"/>
        <v>1.9999999999999574E-2</v>
      </c>
      <c r="AC101" s="34">
        <f t="shared" si="90"/>
        <v>4.2444444444444479E-2</v>
      </c>
      <c r="AD101" s="33">
        <f t="shared" si="91"/>
        <v>0</v>
      </c>
      <c r="AE101" s="34">
        <f t="shared" si="92"/>
        <v>0.13873391111111122</v>
      </c>
      <c r="AI101" s="16">
        <v>94</v>
      </c>
      <c r="AJ101" s="84">
        <v>25.84</v>
      </c>
      <c r="AK101" s="32">
        <f t="shared" si="70"/>
        <v>25.808199999999989</v>
      </c>
      <c r="AL101" s="32">
        <f t="shared" si="71"/>
        <v>7.4500084739969288E-2</v>
      </c>
      <c r="AM101" s="32">
        <f t="shared" si="72"/>
        <v>26.031700254219896</v>
      </c>
      <c r="AN101" s="32">
        <f t="shared" si="73"/>
        <v>25.584699745780082</v>
      </c>
      <c r="AO101" s="32">
        <f t="shared" si="74"/>
        <v>25.957200169479929</v>
      </c>
      <c r="AP101" s="32">
        <f t="shared" si="75"/>
        <v>25.659199830520048</v>
      </c>
      <c r="AQ101" s="32">
        <f t="shared" si="76"/>
        <v>25.882700084739959</v>
      </c>
      <c r="AR101" s="32">
        <f t="shared" si="77"/>
        <v>25.733699915260019</v>
      </c>
      <c r="AS101" s="33">
        <f t="shared" si="93"/>
        <v>3.9999999999999147E-2</v>
      </c>
      <c r="AT101" s="34">
        <f t="shared" si="94"/>
        <v>6.6666666666666249E-2</v>
      </c>
      <c r="AU101" s="34">
        <f t="shared" si="95"/>
        <v>0</v>
      </c>
      <c r="AV101" s="34">
        <f t="shared" si="96"/>
        <v>0.21790666666666531</v>
      </c>
      <c r="AZ101" s="16">
        <v>94</v>
      </c>
      <c r="BA101" s="35">
        <v>25.73</v>
      </c>
      <c r="BB101" s="32">
        <f t="shared" si="78"/>
        <v>25.750800000000005</v>
      </c>
      <c r="BC101" s="32">
        <f t="shared" si="79"/>
        <v>5.7272695206019339E-2</v>
      </c>
      <c r="BD101" s="32">
        <f t="shared" si="80"/>
        <v>25.922618085618062</v>
      </c>
      <c r="BE101" s="32">
        <f t="shared" si="81"/>
        <v>25.578981914381949</v>
      </c>
      <c r="BF101" s="32">
        <f t="shared" si="82"/>
        <v>25.865345390412045</v>
      </c>
      <c r="BG101" s="32">
        <f t="shared" si="83"/>
        <v>25.636254609587965</v>
      </c>
      <c r="BH101" s="32">
        <f t="shared" si="84"/>
        <v>25.808072695206025</v>
      </c>
      <c r="BI101" s="32">
        <f t="shared" si="85"/>
        <v>25.693527304793985</v>
      </c>
      <c r="BJ101" s="33">
        <f t="shared" si="53"/>
        <v>7.0000000000000284E-2</v>
      </c>
      <c r="BK101" s="34">
        <f t="shared" si="97"/>
        <v>3.6565656565656614E-2</v>
      </c>
      <c r="BL101" s="34">
        <f t="shared" si="98"/>
        <v>0</v>
      </c>
      <c r="BM101" s="34">
        <f t="shared" si="99"/>
        <v>0.11951850505050521</v>
      </c>
      <c r="BQ101" s="22">
        <v>94</v>
      </c>
      <c r="BR101" s="121" t="str">
        <f>IF(ISBLANK(Datos!B96),"",(ABS(Datos!B95-Datos!B96)))</f>
        <v/>
      </c>
      <c r="BS101" s="121" t="str">
        <f>IF(ISBLANK(Datos!C96),"",(ABS(Datos!C95-Datos!C96)))</f>
        <v/>
      </c>
      <c r="BT101" s="121" t="str">
        <f>IF(ISBLANK(Datos!D96),"",(ABS(Datos!D95-Datos!D96)))</f>
        <v/>
      </c>
      <c r="BU101" s="21" t="str">
        <f>IF(ISBLANK(Datos!E96),"",(ABS(Datos!E95-Datos!E96)))</f>
        <v/>
      </c>
    </row>
    <row r="102" spans="1:73" x14ac:dyDescent="0.3">
      <c r="A102" s="16">
        <v>95</v>
      </c>
      <c r="B102" s="35"/>
      <c r="C102" s="32" t="e">
        <f t="shared" si="54"/>
        <v>#DIV/0!</v>
      </c>
      <c r="D102" s="32" t="e">
        <f t="shared" si="55"/>
        <v>#DIV/0!</v>
      </c>
      <c r="E102" s="32" t="e">
        <f t="shared" si="56"/>
        <v>#DIV/0!</v>
      </c>
      <c r="F102" s="32" t="e">
        <f t="shared" si="57"/>
        <v>#DIV/0!</v>
      </c>
      <c r="G102" s="32" t="e">
        <f t="shared" si="58"/>
        <v>#DIV/0!</v>
      </c>
      <c r="H102" s="32" t="e">
        <f t="shared" si="59"/>
        <v>#DIV/0!</v>
      </c>
      <c r="I102" s="32" t="e">
        <f t="shared" si="60"/>
        <v>#DIV/0!</v>
      </c>
      <c r="J102" s="32" t="e">
        <f t="shared" si="61"/>
        <v>#DIV/0!</v>
      </c>
      <c r="K102" s="33">
        <f t="shared" si="100"/>
        <v>0</v>
      </c>
      <c r="L102" s="34">
        <f t="shared" si="86"/>
        <v>0</v>
      </c>
      <c r="M102" s="33">
        <f t="shared" si="87"/>
        <v>0</v>
      </c>
      <c r="N102" s="34">
        <f t="shared" si="88"/>
        <v>0</v>
      </c>
      <c r="R102" s="16">
        <v>95</v>
      </c>
      <c r="S102" s="35">
        <v>6.4</v>
      </c>
      <c r="T102" s="32">
        <f t="shared" si="62"/>
        <v>6.3964700000000017</v>
      </c>
      <c r="U102" s="32">
        <f t="shared" si="63"/>
        <v>4.3797618818166538E-2</v>
      </c>
      <c r="V102" s="32">
        <f t="shared" si="64"/>
        <v>6.5278628564545009</v>
      </c>
      <c r="W102" s="32">
        <f t="shared" si="65"/>
        <v>6.2650771435455024</v>
      </c>
      <c r="X102" s="32">
        <f t="shared" si="66"/>
        <v>6.4840652376363348</v>
      </c>
      <c r="Y102" s="32">
        <f t="shared" si="67"/>
        <v>6.3088747623636685</v>
      </c>
      <c r="Z102" s="32">
        <f t="shared" si="68"/>
        <v>6.4402676188181678</v>
      </c>
      <c r="AA102" s="32">
        <f t="shared" si="69"/>
        <v>6.3526723811818355</v>
      </c>
      <c r="AB102" s="33">
        <f t="shared" si="89"/>
        <v>2.9999999999999361E-2</v>
      </c>
      <c r="AC102" s="34">
        <f t="shared" si="90"/>
        <v>4.2444444444444479E-2</v>
      </c>
      <c r="AD102" s="33">
        <f t="shared" si="91"/>
        <v>0</v>
      </c>
      <c r="AE102" s="34">
        <f t="shared" si="92"/>
        <v>0.13873391111111122</v>
      </c>
      <c r="AI102" s="16">
        <v>95</v>
      </c>
      <c r="AJ102" s="84">
        <v>25.81</v>
      </c>
      <c r="AK102" s="32">
        <f t="shared" si="70"/>
        <v>25.808199999999989</v>
      </c>
      <c r="AL102" s="32">
        <f t="shared" si="71"/>
        <v>7.4500084739969288E-2</v>
      </c>
      <c r="AM102" s="32">
        <f t="shared" si="72"/>
        <v>26.031700254219896</v>
      </c>
      <c r="AN102" s="32">
        <f t="shared" si="73"/>
        <v>25.584699745780082</v>
      </c>
      <c r="AO102" s="32">
        <f t="shared" si="74"/>
        <v>25.957200169479929</v>
      </c>
      <c r="AP102" s="32">
        <f t="shared" si="75"/>
        <v>25.659199830520048</v>
      </c>
      <c r="AQ102" s="32">
        <f t="shared" si="76"/>
        <v>25.882700084739959</v>
      </c>
      <c r="AR102" s="32">
        <f t="shared" si="77"/>
        <v>25.733699915260019</v>
      </c>
      <c r="AS102" s="33">
        <f t="shared" si="93"/>
        <v>3.0000000000001137E-2</v>
      </c>
      <c r="AT102" s="34">
        <f t="shared" si="94"/>
        <v>6.6666666666666249E-2</v>
      </c>
      <c r="AU102" s="34">
        <f t="shared" si="95"/>
        <v>0</v>
      </c>
      <c r="AV102" s="34">
        <f t="shared" si="96"/>
        <v>0.21790666666666531</v>
      </c>
      <c r="AZ102" s="16">
        <v>95</v>
      </c>
      <c r="BA102" s="35">
        <v>25.83</v>
      </c>
      <c r="BB102" s="32">
        <f t="shared" si="78"/>
        <v>25.750800000000005</v>
      </c>
      <c r="BC102" s="32">
        <f t="shared" si="79"/>
        <v>5.7272695206019339E-2</v>
      </c>
      <c r="BD102" s="32">
        <f t="shared" si="80"/>
        <v>25.922618085618062</v>
      </c>
      <c r="BE102" s="32">
        <f t="shared" si="81"/>
        <v>25.578981914381949</v>
      </c>
      <c r="BF102" s="32">
        <f t="shared" si="82"/>
        <v>25.865345390412045</v>
      </c>
      <c r="BG102" s="32">
        <f t="shared" si="83"/>
        <v>25.636254609587965</v>
      </c>
      <c r="BH102" s="32">
        <f t="shared" si="84"/>
        <v>25.808072695206025</v>
      </c>
      <c r="BI102" s="32">
        <f t="shared" si="85"/>
        <v>25.693527304793985</v>
      </c>
      <c r="BJ102" s="33">
        <f t="shared" si="53"/>
        <v>9.9999999999997868E-2</v>
      </c>
      <c r="BK102" s="34">
        <f t="shared" si="97"/>
        <v>3.6565656565656614E-2</v>
      </c>
      <c r="BL102" s="34">
        <f t="shared" si="98"/>
        <v>0</v>
      </c>
      <c r="BM102" s="34">
        <f t="shared" si="99"/>
        <v>0.11951850505050521</v>
      </c>
      <c r="BQ102" s="22">
        <v>95</v>
      </c>
      <c r="BR102" s="121" t="str">
        <f>IF(ISBLANK(Datos!B97),"",(ABS(Datos!B96-Datos!B97)))</f>
        <v/>
      </c>
      <c r="BS102" s="121" t="str">
        <f>IF(ISBLANK(Datos!C97),"",(ABS(Datos!C96-Datos!C97)))</f>
        <v/>
      </c>
      <c r="BT102" s="121" t="str">
        <f>IF(ISBLANK(Datos!D97),"",(ABS(Datos!D96-Datos!D97)))</f>
        <v/>
      </c>
      <c r="BU102" s="21" t="str">
        <f>IF(ISBLANK(Datos!E97),"",(ABS(Datos!E96-Datos!E97)))</f>
        <v/>
      </c>
    </row>
    <row r="103" spans="1:73" x14ac:dyDescent="0.3">
      <c r="A103" s="16">
        <v>96</v>
      </c>
      <c r="B103" s="35"/>
      <c r="C103" s="32" t="e">
        <f t="shared" si="54"/>
        <v>#DIV/0!</v>
      </c>
      <c r="D103" s="32" t="e">
        <f t="shared" si="55"/>
        <v>#DIV/0!</v>
      </c>
      <c r="E103" s="32" t="e">
        <f t="shared" si="56"/>
        <v>#DIV/0!</v>
      </c>
      <c r="F103" s="32" t="e">
        <f t="shared" si="57"/>
        <v>#DIV/0!</v>
      </c>
      <c r="G103" s="32" t="e">
        <f t="shared" si="58"/>
        <v>#DIV/0!</v>
      </c>
      <c r="H103" s="32" t="e">
        <f t="shared" si="59"/>
        <v>#DIV/0!</v>
      </c>
      <c r="I103" s="32" t="e">
        <f t="shared" si="60"/>
        <v>#DIV/0!</v>
      </c>
      <c r="J103" s="32" t="e">
        <f t="shared" si="61"/>
        <v>#DIV/0!</v>
      </c>
      <c r="K103" s="33">
        <f t="shared" si="100"/>
        <v>0</v>
      </c>
      <c r="L103" s="34">
        <f t="shared" si="86"/>
        <v>0</v>
      </c>
      <c r="M103" s="33">
        <f t="shared" si="87"/>
        <v>0</v>
      </c>
      <c r="N103" s="34">
        <f t="shared" si="88"/>
        <v>0</v>
      </c>
      <c r="R103" s="16">
        <v>96</v>
      </c>
      <c r="S103" s="35">
        <v>6.45</v>
      </c>
      <c r="T103" s="32">
        <f t="shared" si="62"/>
        <v>6.3964700000000017</v>
      </c>
      <c r="U103" s="32">
        <f t="shared" si="63"/>
        <v>4.3797618818166538E-2</v>
      </c>
      <c r="V103" s="32">
        <f t="shared" si="64"/>
        <v>6.5278628564545009</v>
      </c>
      <c r="W103" s="32">
        <f t="shared" si="65"/>
        <v>6.2650771435455024</v>
      </c>
      <c r="X103" s="32">
        <f t="shared" si="66"/>
        <v>6.4840652376363348</v>
      </c>
      <c r="Y103" s="32">
        <f t="shared" si="67"/>
        <v>6.3088747623636685</v>
      </c>
      <c r="Z103" s="32">
        <f t="shared" si="68"/>
        <v>6.4402676188181678</v>
      </c>
      <c r="AA103" s="32">
        <f t="shared" si="69"/>
        <v>6.3526723811818355</v>
      </c>
      <c r="AB103" s="33">
        <f t="shared" si="89"/>
        <v>4.9999999999999822E-2</v>
      </c>
      <c r="AC103" s="34">
        <f t="shared" si="90"/>
        <v>4.2444444444444479E-2</v>
      </c>
      <c r="AD103" s="33">
        <f t="shared" si="91"/>
        <v>0</v>
      </c>
      <c r="AE103" s="34">
        <f t="shared" si="92"/>
        <v>0.13873391111111122</v>
      </c>
      <c r="AI103" s="16">
        <v>96</v>
      </c>
      <c r="AJ103" s="84">
        <v>25.88</v>
      </c>
      <c r="AK103" s="32">
        <f t="shared" si="70"/>
        <v>25.808199999999989</v>
      </c>
      <c r="AL103" s="32">
        <f t="shared" si="71"/>
        <v>7.4500084739969288E-2</v>
      </c>
      <c r="AM103" s="32">
        <f t="shared" si="72"/>
        <v>26.031700254219896</v>
      </c>
      <c r="AN103" s="32">
        <f t="shared" si="73"/>
        <v>25.584699745780082</v>
      </c>
      <c r="AO103" s="32">
        <f t="shared" si="74"/>
        <v>25.957200169479929</v>
      </c>
      <c r="AP103" s="32">
        <f t="shared" si="75"/>
        <v>25.659199830520048</v>
      </c>
      <c r="AQ103" s="32">
        <f t="shared" si="76"/>
        <v>25.882700084739959</v>
      </c>
      <c r="AR103" s="32">
        <f t="shared" si="77"/>
        <v>25.733699915260019</v>
      </c>
      <c r="AS103" s="33">
        <f t="shared" si="93"/>
        <v>7.0000000000000284E-2</v>
      </c>
      <c r="AT103" s="34">
        <f t="shared" si="94"/>
        <v>6.6666666666666249E-2</v>
      </c>
      <c r="AU103" s="34">
        <f t="shared" si="95"/>
        <v>0</v>
      </c>
      <c r="AV103" s="34">
        <f t="shared" si="96"/>
        <v>0.21790666666666531</v>
      </c>
      <c r="AZ103" s="16">
        <v>96</v>
      </c>
      <c r="BA103" s="35">
        <v>25.84</v>
      </c>
      <c r="BB103" s="32">
        <f t="shared" si="78"/>
        <v>25.750800000000005</v>
      </c>
      <c r="BC103" s="32">
        <f t="shared" si="79"/>
        <v>5.7272695206019339E-2</v>
      </c>
      <c r="BD103" s="32">
        <f t="shared" si="80"/>
        <v>25.922618085618062</v>
      </c>
      <c r="BE103" s="32">
        <f t="shared" si="81"/>
        <v>25.578981914381949</v>
      </c>
      <c r="BF103" s="32">
        <f t="shared" si="82"/>
        <v>25.865345390412045</v>
      </c>
      <c r="BG103" s="32">
        <f t="shared" si="83"/>
        <v>25.636254609587965</v>
      </c>
      <c r="BH103" s="32">
        <f t="shared" si="84"/>
        <v>25.808072695206025</v>
      </c>
      <c r="BI103" s="32">
        <f t="shared" si="85"/>
        <v>25.693527304793985</v>
      </c>
      <c r="BJ103" s="33">
        <f t="shared" si="53"/>
        <v>1.0000000000001563E-2</v>
      </c>
      <c r="BK103" s="34">
        <f t="shared" si="97"/>
        <v>3.6565656565656614E-2</v>
      </c>
      <c r="BL103" s="34">
        <f t="shared" si="98"/>
        <v>0</v>
      </c>
      <c r="BM103" s="34">
        <f t="shared" si="99"/>
        <v>0.11951850505050521</v>
      </c>
      <c r="BQ103" s="22">
        <v>96</v>
      </c>
      <c r="BR103" s="121" t="str">
        <f>IF(ISBLANK(Datos!B98),"",(ABS(Datos!B97-Datos!B98)))</f>
        <v/>
      </c>
      <c r="BS103" s="121" t="str">
        <f>IF(ISBLANK(Datos!C98),"",(ABS(Datos!C97-Datos!C98)))</f>
        <v/>
      </c>
      <c r="BT103" s="121" t="str">
        <f>IF(ISBLANK(Datos!D98),"",(ABS(Datos!D97-Datos!D98)))</f>
        <v/>
      </c>
      <c r="BU103" s="21" t="str">
        <f>IF(ISBLANK(Datos!E98),"",(ABS(Datos!E97-Datos!E98)))</f>
        <v/>
      </c>
    </row>
    <row r="104" spans="1:73" x14ac:dyDescent="0.3">
      <c r="A104" s="16">
        <v>97</v>
      </c>
      <c r="B104" s="35"/>
      <c r="C104" s="32" t="e">
        <f t="shared" si="54"/>
        <v>#DIV/0!</v>
      </c>
      <c r="D104" s="32" t="e">
        <f t="shared" si="55"/>
        <v>#DIV/0!</v>
      </c>
      <c r="E104" s="32" t="e">
        <f t="shared" si="56"/>
        <v>#DIV/0!</v>
      </c>
      <c r="F104" s="32" t="e">
        <f t="shared" si="57"/>
        <v>#DIV/0!</v>
      </c>
      <c r="G104" s="32" t="e">
        <f t="shared" si="58"/>
        <v>#DIV/0!</v>
      </c>
      <c r="H104" s="32" t="e">
        <f t="shared" si="59"/>
        <v>#DIV/0!</v>
      </c>
      <c r="I104" s="32" t="e">
        <f t="shared" si="60"/>
        <v>#DIV/0!</v>
      </c>
      <c r="J104" s="32" t="e">
        <f t="shared" si="61"/>
        <v>#DIV/0!</v>
      </c>
      <c r="K104" s="33">
        <f t="shared" si="100"/>
        <v>0</v>
      </c>
      <c r="L104" s="34">
        <f t="shared" si="86"/>
        <v>0</v>
      </c>
      <c r="M104" s="33">
        <f t="shared" si="87"/>
        <v>0</v>
      </c>
      <c r="N104" s="34">
        <f t="shared" si="88"/>
        <v>0</v>
      </c>
      <c r="R104" s="16">
        <v>97</v>
      </c>
      <c r="S104" s="35">
        <v>6.42</v>
      </c>
      <c r="T104" s="32">
        <f t="shared" si="62"/>
        <v>6.3964700000000017</v>
      </c>
      <c r="U104" s="32">
        <f t="shared" si="63"/>
        <v>4.3797618818166538E-2</v>
      </c>
      <c r="V104" s="32">
        <f t="shared" si="64"/>
        <v>6.5278628564545009</v>
      </c>
      <c r="W104" s="32">
        <f t="shared" si="65"/>
        <v>6.2650771435455024</v>
      </c>
      <c r="X104" s="32">
        <f t="shared" si="66"/>
        <v>6.4840652376363348</v>
      </c>
      <c r="Y104" s="32">
        <f t="shared" si="67"/>
        <v>6.3088747623636685</v>
      </c>
      <c r="Z104" s="32">
        <f t="shared" si="68"/>
        <v>6.4402676188181678</v>
      </c>
      <c r="AA104" s="32">
        <f t="shared" si="69"/>
        <v>6.3526723811818355</v>
      </c>
      <c r="AB104" s="33">
        <f t="shared" si="89"/>
        <v>3.0000000000000249E-2</v>
      </c>
      <c r="AC104" s="34">
        <f t="shared" si="90"/>
        <v>4.2444444444444479E-2</v>
      </c>
      <c r="AD104" s="33">
        <f t="shared" si="91"/>
        <v>0</v>
      </c>
      <c r="AE104" s="34">
        <f t="shared" si="92"/>
        <v>0.13873391111111122</v>
      </c>
      <c r="AI104" s="16">
        <v>97</v>
      </c>
      <c r="AJ104" s="84">
        <v>25.95</v>
      </c>
      <c r="AK104" s="32">
        <f t="shared" si="70"/>
        <v>25.808199999999989</v>
      </c>
      <c r="AL104" s="32">
        <f t="shared" si="71"/>
        <v>7.4500084739969288E-2</v>
      </c>
      <c r="AM104" s="32">
        <f t="shared" si="72"/>
        <v>26.031700254219896</v>
      </c>
      <c r="AN104" s="32">
        <f t="shared" si="73"/>
        <v>25.584699745780082</v>
      </c>
      <c r="AO104" s="32">
        <f t="shared" si="74"/>
        <v>25.957200169479929</v>
      </c>
      <c r="AP104" s="32">
        <f t="shared" si="75"/>
        <v>25.659199830520048</v>
      </c>
      <c r="AQ104" s="32">
        <f t="shared" si="76"/>
        <v>25.882700084739959</v>
      </c>
      <c r="AR104" s="32">
        <f t="shared" si="77"/>
        <v>25.733699915260019</v>
      </c>
      <c r="AS104" s="33">
        <f t="shared" si="93"/>
        <v>7.0000000000000284E-2</v>
      </c>
      <c r="AT104" s="34">
        <f t="shared" si="94"/>
        <v>6.6666666666666249E-2</v>
      </c>
      <c r="AU104" s="34">
        <f t="shared" si="95"/>
        <v>0</v>
      </c>
      <c r="AV104" s="34">
        <f t="shared" si="96"/>
        <v>0.21790666666666531</v>
      </c>
      <c r="AZ104" s="16">
        <v>97</v>
      </c>
      <c r="BA104" s="35">
        <v>25.84</v>
      </c>
      <c r="BB104" s="32">
        <f t="shared" si="78"/>
        <v>25.750800000000005</v>
      </c>
      <c r="BC104" s="32">
        <f t="shared" si="79"/>
        <v>5.7272695206019339E-2</v>
      </c>
      <c r="BD104" s="32">
        <f t="shared" si="80"/>
        <v>25.922618085618062</v>
      </c>
      <c r="BE104" s="32">
        <f t="shared" si="81"/>
        <v>25.578981914381949</v>
      </c>
      <c r="BF104" s="32">
        <f t="shared" si="82"/>
        <v>25.865345390412045</v>
      </c>
      <c r="BG104" s="32">
        <f t="shared" si="83"/>
        <v>25.636254609587965</v>
      </c>
      <c r="BH104" s="32">
        <f t="shared" si="84"/>
        <v>25.808072695206025</v>
      </c>
      <c r="BI104" s="32">
        <f t="shared" si="85"/>
        <v>25.693527304793985</v>
      </c>
      <c r="BJ104" s="33">
        <f t="shared" si="53"/>
        <v>0</v>
      </c>
      <c r="BK104" s="34">
        <f t="shared" si="97"/>
        <v>3.6565656565656614E-2</v>
      </c>
      <c r="BL104" s="34">
        <f t="shared" si="98"/>
        <v>0</v>
      </c>
      <c r="BM104" s="34">
        <f t="shared" si="99"/>
        <v>0.11951850505050521</v>
      </c>
      <c r="BQ104" s="22">
        <v>97</v>
      </c>
      <c r="BR104" s="121" t="str">
        <f>IF(ISBLANK(Datos!B99),"",(ABS(Datos!B98-Datos!B99)))</f>
        <v/>
      </c>
      <c r="BS104" s="121" t="str">
        <f>IF(ISBLANK(Datos!C99),"",(ABS(Datos!C98-Datos!C99)))</f>
        <v/>
      </c>
      <c r="BT104" s="121" t="str">
        <f>IF(ISBLANK(Datos!D99),"",(ABS(Datos!D98-Datos!D99)))</f>
        <v/>
      </c>
      <c r="BU104" s="21" t="str">
        <f>IF(ISBLANK(Datos!E99),"",(ABS(Datos!E98-Datos!E99)))</f>
        <v/>
      </c>
    </row>
    <row r="105" spans="1:73" x14ac:dyDescent="0.3">
      <c r="A105" s="16">
        <v>98</v>
      </c>
      <c r="B105" s="35"/>
      <c r="C105" s="32" t="e">
        <f t="shared" si="54"/>
        <v>#DIV/0!</v>
      </c>
      <c r="D105" s="32" t="e">
        <f t="shared" si="55"/>
        <v>#DIV/0!</v>
      </c>
      <c r="E105" s="32" t="e">
        <f t="shared" si="56"/>
        <v>#DIV/0!</v>
      </c>
      <c r="F105" s="32" t="e">
        <f t="shared" si="57"/>
        <v>#DIV/0!</v>
      </c>
      <c r="G105" s="32" t="e">
        <f t="shared" si="58"/>
        <v>#DIV/0!</v>
      </c>
      <c r="H105" s="32" t="e">
        <f t="shared" si="59"/>
        <v>#DIV/0!</v>
      </c>
      <c r="I105" s="32" t="e">
        <f t="shared" si="60"/>
        <v>#DIV/0!</v>
      </c>
      <c r="J105" s="32" t="e">
        <f t="shared" si="61"/>
        <v>#DIV/0!</v>
      </c>
      <c r="K105" s="33">
        <f t="shared" si="100"/>
        <v>0</v>
      </c>
      <c r="L105" s="34">
        <f t="shared" si="86"/>
        <v>0</v>
      </c>
      <c r="M105" s="33">
        <f t="shared" si="87"/>
        <v>0</v>
      </c>
      <c r="N105" s="34">
        <f t="shared" si="88"/>
        <v>0</v>
      </c>
      <c r="R105" s="16">
        <v>98</v>
      </c>
      <c r="S105" s="35">
        <v>6.43</v>
      </c>
      <c r="T105" s="32">
        <f t="shared" si="62"/>
        <v>6.3964700000000017</v>
      </c>
      <c r="U105" s="32">
        <f t="shared" si="63"/>
        <v>4.3797618818166538E-2</v>
      </c>
      <c r="V105" s="32">
        <f t="shared" si="64"/>
        <v>6.5278628564545009</v>
      </c>
      <c r="W105" s="32">
        <f t="shared" si="65"/>
        <v>6.2650771435455024</v>
      </c>
      <c r="X105" s="32">
        <f t="shared" si="66"/>
        <v>6.4840652376363348</v>
      </c>
      <c r="Y105" s="32">
        <f t="shared" si="67"/>
        <v>6.3088747623636685</v>
      </c>
      <c r="Z105" s="32">
        <f t="shared" si="68"/>
        <v>6.4402676188181678</v>
      </c>
      <c r="AA105" s="32">
        <f t="shared" si="69"/>
        <v>6.3526723811818355</v>
      </c>
      <c r="AB105" s="33">
        <f t="shared" si="89"/>
        <v>9.9999999999997868E-3</v>
      </c>
      <c r="AC105" s="34">
        <f t="shared" si="90"/>
        <v>4.2444444444444479E-2</v>
      </c>
      <c r="AD105" s="33">
        <f t="shared" si="91"/>
        <v>0</v>
      </c>
      <c r="AE105" s="34">
        <f t="shared" si="92"/>
        <v>0.13873391111111122</v>
      </c>
      <c r="AI105" s="16">
        <v>98</v>
      </c>
      <c r="AJ105" s="84">
        <v>25.89</v>
      </c>
      <c r="AK105" s="32">
        <f t="shared" si="70"/>
        <v>25.808199999999989</v>
      </c>
      <c r="AL105" s="32">
        <f t="shared" si="71"/>
        <v>7.4500084739969288E-2</v>
      </c>
      <c r="AM105" s="32">
        <f t="shared" si="72"/>
        <v>26.031700254219896</v>
      </c>
      <c r="AN105" s="32">
        <f t="shared" si="73"/>
        <v>25.584699745780082</v>
      </c>
      <c r="AO105" s="32">
        <f t="shared" si="74"/>
        <v>25.957200169479929</v>
      </c>
      <c r="AP105" s="32">
        <f t="shared" si="75"/>
        <v>25.659199830520048</v>
      </c>
      <c r="AQ105" s="32">
        <f t="shared" si="76"/>
        <v>25.882700084739959</v>
      </c>
      <c r="AR105" s="32">
        <f t="shared" si="77"/>
        <v>25.733699915260019</v>
      </c>
      <c r="AS105" s="33">
        <f t="shared" si="93"/>
        <v>5.9999999999998721E-2</v>
      </c>
      <c r="AT105" s="34">
        <f t="shared" si="94"/>
        <v>6.6666666666666249E-2</v>
      </c>
      <c r="AU105" s="34">
        <f t="shared" si="95"/>
        <v>0</v>
      </c>
      <c r="AV105" s="34">
        <f t="shared" si="96"/>
        <v>0.21790666666666531</v>
      </c>
      <c r="AZ105" s="16">
        <v>98</v>
      </c>
      <c r="BA105" s="35">
        <v>25.9</v>
      </c>
      <c r="BB105" s="32">
        <f t="shared" si="78"/>
        <v>25.750800000000005</v>
      </c>
      <c r="BC105" s="32">
        <f t="shared" si="79"/>
        <v>5.7272695206019339E-2</v>
      </c>
      <c r="BD105" s="32">
        <f t="shared" si="80"/>
        <v>25.922618085618062</v>
      </c>
      <c r="BE105" s="32">
        <f t="shared" si="81"/>
        <v>25.578981914381949</v>
      </c>
      <c r="BF105" s="32">
        <f t="shared" si="82"/>
        <v>25.865345390412045</v>
      </c>
      <c r="BG105" s="32">
        <f t="shared" si="83"/>
        <v>25.636254609587965</v>
      </c>
      <c r="BH105" s="32">
        <f t="shared" si="84"/>
        <v>25.808072695206025</v>
      </c>
      <c r="BI105" s="32">
        <f t="shared" si="85"/>
        <v>25.693527304793985</v>
      </c>
      <c r="BJ105" s="33">
        <f t="shared" si="53"/>
        <v>5.9999999999998721E-2</v>
      </c>
      <c r="BK105" s="34">
        <f t="shared" si="97"/>
        <v>3.6565656565656614E-2</v>
      </c>
      <c r="BL105" s="34">
        <f t="shared" si="98"/>
        <v>0</v>
      </c>
      <c r="BM105" s="34">
        <f t="shared" si="99"/>
        <v>0.11951850505050521</v>
      </c>
      <c r="BQ105" s="22">
        <v>98</v>
      </c>
      <c r="BR105" s="121" t="str">
        <f>IF(ISBLANK(Datos!B100),"",(ABS(Datos!B99-Datos!B100)))</f>
        <v/>
      </c>
      <c r="BS105" s="121" t="str">
        <f>IF(ISBLANK(Datos!C100),"",(ABS(Datos!C99-Datos!C100)))</f>
        <v/>
      </c>
      <c r="BT105" s="121" t="str">
        <f>IF(ISBLANK(Datos!D100),"",(ABS(Datos!D99-Datos!D100)))</f>
        <v/>
      </c>
      <c r="BU105" s="21" t="str">
        <f>IF(ISBLANK(Datos!E100),"",(ABS(Datos!E99-Datos!E100)))</f>
        <v/>
      </c>
    </row>
    <row r="106" spans="1:73" x14ac:dyDescent="0.3">
      <c r="A106" s="16">
        <v>99</v>
      </c>
      <c r="B106" s="35"/>
      <c r="C106" s="32" t="e">
        <f t="shared" si="54"/>
        <v>#DIV/0!</v>
      </c>
      <c r="D106" s="32" t="e">
        <f t="shared" si="55"/>
        <v>#DIV/0!</v>
      </c>
      <c r="E106" s="32" t="e">
        <f t="shared" si="56"/>
        <v>#DIV/0!</v>
      </c>
      <c r="F106" s="32" t="e">
        <f t="shared" si="57"/>
        <v>#DIV/0!</v>
      </c>
      <c r="G106" s="32" t="e">
        <f t="shared" si="58"/>
        <v>#DIV/0!</v>
      </c>
      <c r="H106" s="32" t="e">
        <f t="shared" si="59"/>
        <v>#DIV/0!</v>
      </c>
      <c r="I106" s="32" t="e">
        <f t="shared" si="60"/>
        <v>#DIV/0!</v>
      </c>
      <c r="J106" s="32" t="e">
        <f t="shared" si="61"/>
        <v>#DIV/0!</v>
      </c>
      <c r="K106" s="33">
        <f t="shared" si="100"/>
        <v>0</v>
      </c>
      <c r="L106" s="34">
        <f t="shared" si="86"/>
        <v>0</v>
      </c>
      <c r="M106" s="33">
        <f t="shared" si="87"/>
        <v>0</v>
      </c>
      <c r="N106" s="34">
        <f t="shared" si="88"/>
        <v>0</v>
      </c>
      <c r="R106" s="16">
        <v>99</v>
      </c>
      <c r="S106" s="35">
        <v>6.42</v>
      </c>
      <c r="T106" s="32">
        <f t="shared" si="62"/>
        <v>6.3964700000000017</v>
      </c>
      <c r="U106" s="32">
        <f t="shared" si="63"/>
        <v>4.3797618818166538E-2</v>
      </c>
      <c r="V106" s="32">
        <f t="shared" si="64"/>
        <v>6.5278628564545009</v>
      </c>
      <c r="W106" s="32">
        <f t="shared" si="65"/>
        <v>6.2650771435455024</v>
      </c>
      <c r="X106" s="32">
        <f t="shared" si="66"/>
        <v>6.4840652376363348</v>
      </c>
      <c r="Y106" s="32">
        <f t="shared" si="67"/>
        <v>6.3088747623636685</v>
      </c>
      <c r="Z106" s="32">
        <f t="shared" si="68"/>
        <v>6.4402676188181678</v>
      </c>
      <c r="AA106" s="32">
        <f t="shared" si="69"/>
        <v>6.3526723811818355</v>
      </c>
      <c r="AB106" s="33">
        <f t="shared" si="89"/>
        <v>9.9999999999997868E-3</v>
      </c>
      <c r="AC106" s="34">
        <f t="shared" si="90"/>
        <v>4.2444444444444479E-2</v>
      </c>
      <c r="AD106" s="33">
        <f t="shared" si="91"/>
        <v>0</v>
      </c>
      <c r="AE106" s="34">
        <f t="shared" si="92"/>
        <v>0.13873391111111122</v>
      </c>
      <c r="AI106" s="16">
        <v>99</v>
      </c>
      <c r="AJ106" s="84">
        <v>25.88</v>
      </c>
      <c r="AK106" s="32">
        <f t="shared" si="70"/>
        <v>25.808199999999989</v>
      </c>
      <c r="AL106" s="32">
        <f t="shared" si="71"/>
        <v>7.4500084739969288E-2</v>
      </c>
      <c r="AM106" s="32">
        <f t="shared" si="72"/>
        <v>26.031700254219896</v>
      </c>
      <c r="AN106" s="32">
        <f t="shared" si="73"/>
        <v>25.584699745780082</v>
      </c>
      <c r="AO106" s="32">
        <f t="shared" si="74"/>
        <v>25.957200169479929</v>
      </c>
      <c r="AP106" s="32">
        <f t="shared" si="75"/>
        <v>25.659199830520048</v>
      </c>
      <c r="AQ106" s="32">
        <f t="shared" si="76"/>
        <v>25.882700084739959</v>
      </c>
      <c r="AR106" s="32">
        <f t="shared" si="77"/>
        <v>25.733699915260019</v>
      </c>
      <c r="AS106" s="33">
        <f t="shared" si="93"/>
        <v>1.0000000000001563E-2</v>
      </c>
      <c r="AT106" s="34">
        <f t="shared" si="94"/>
        <v>6.6666666666666249E-2</v>
      </c>
      <c r="AU106" s="34">
        <f t="shared" si="95"/>
        <v>0</v>
      </c>
      <c r="AV106" s="34">
        <f t="shared" si="96"/>
        <v>0.21790666666666531</v>
      </c>
      <c r="AZ106" s="16">
        <v>99</v>
      </c>
      <c r="BA106" s="35">
        <v>25.8</v>
      </c>
      <c r="BB106" s="32">
        <f t="shared" si="78"/>
        <v>25.750800000000005</v>
      </c>
      <c r="BC106" s="32">
        <f t="shared" si="79"/>
        <v>5.7272695206019339E-2</v>
      </c>
      <c r="BD106" s="32">
        <f t="shared" si="80"/>
        <v>25.922618085618062</v>
      </c>
      <c r="BE106" s="32">
        <f t="shared" si="81"/>
        <v>25.578981914381949</v>
      </c>
      <c r="BF106" s="32">
        <f t="shared" si="82"/>
        <v>25.865345390412045</v>
      </c>
      <c r="BG106" s="32">
        <f t="shared" si="83"/>
        <v>25.636254609587965</v>
      </c>
      <c r="BH106" s="32">
        <f t="shared" si="84"/>
        <v>25.808072695206025</v>
      </c>
      <c r="BI106" s="32">
        <f t="shared" si="85"/>
        <v>25.693527304793985</v>
      </c>
      <c r="BJ106" s="33">
        <f t="shared" si="53"/>
        <v>9.9999999999997868E-2</v>
      </c>
      <c r="BK106" s="34">
        <f t="shared" si="97"/>
        <v>3.6565656565656614E-2</v>
      </c>
      <c r="BL106" s="34">
        <f t="shared" si="98"/>
        <v>0</v>
      </c>
      <c r="BM106" s="34">
        <f t="shared" si="99"/>
        <v>0.11951850505050521</v>
      </c>
      <c r="BQ106" s="22">
        <v>99</v>
      </c>
      <c r="BR106" s="121" t="str">
        <f>IF(ISBLANK(Datos!B101),"",(ABS(Datos!B100-Datos!B101)))</f>
        <v/>
      </c>
      <c r="BS106" s="121" t="str">
        <f>IF(ISBLANK(Datos!C101),"",(ABS(Datos!C100-Datos!C101)))</f>
        <v/>
      </c>
      <c r="BT106" s="121" t="str">
        <f>IF(ISBLANK(Datos!D101),"",(ABS(Datos!D100-Datos!D101)))</f>
        <v/>
      </c>
      <c r="BU106" s="21" t="str">
        <f>IF(ISBLANK(Datos!E101),"",(ABS(Datos!E100-Datos!E101)))</f>
        <v/>
      </c>
    </row>
    <row r="107" spans="1:73" x14ac:dyDescent="0.3">
      <c r="A107" s="16">
        <v>100</v>
      </c>
      <c r="B107" s="35"/>
      <c r="C107" s="32" t="e">
        <f t="shared" si="54"/>
        <v>#DIV/0!</v>
      </c>
      <c r="D107" s="32" t="e">
        <f t="shared" si="55"/>
        <v>#DIV/0!</v>
      </c>
      <c r="E107" s="32" t="e">
        <f t="shared" si="56"/>
        <v>#DIV/0!</v>
      </c>
      <c r="F107" s="32" t="e">
        <f t="shared" si="57"/>
        <v>#DIV/0!</v>
      </c>
      <c r="G107" s="32" t="e">
        <f t="shared" si="58"/>
        <v>#DIV/0!</v>
      </c>
      <c r="H107" s="32" t="e">
        <f t="shared" si="59"/>
        <v>#DIV/0!</v>
      </c>
      <c r="I107" s="32" t="e">
        <f t="shared" si="60"/>
        <v>#DIV/0!</v>
      </c>
      <c r="J107" s="32" t="e">
        <f t="shared" si="61"/>
        <v>#DIV/0!</v>
      </c>
      <c r="K107" s="33">
        <f t="shared" si="100"/>
        <v>0</v>
      </c>
      <c r="L107" s="34">
        <f t="shared" si="86"/>
        <v>0</v>
      </c>
      <c r="M107" s="33">
        <f t="shared" si="87"/>
        <v>0</v>
      </c>
      <c r="N107" s="34">
        <f t="shared" si="88"/>
        <v>0</v>
      </c>
      <c r="R107" s="16">
        <v>100</v>
      </c>
      <c r="S107" s="35">
        <v>6.46</v>
      </c>
      <c r="T107" s="32">
        <f t="shared" si="62"/>
        <v>6.3964700000000017</v>
      </c>
      <c r="U107" s="32">
        <f t="shared" si="63"/>
        <v>4.3797618818166538E-2</v>
      </c>
      <c r="V107" s="32">
        <f t="shared" si="64"/>
        <v>6.5278628564545009</v>
      </c>
      <c r="W107" s="32">
        <f t="shared" si="65"/>
        <v>6.2650771435455024</v>
      </c>
      <c r="X107" s="32">
        <f t="shared" si="66"/>
        <v>6.4840652376363348</v>
      </c>
      <c r="Y107" s="32">
        <f t="shared" si="67"/>
        <v>6.3088747623636685</v>
      </c>
      <c r="Z107" s="32">
        <f t="shared" si="68"/>
        <v>6.4402676188181678</v>
      </c>
      <c r="AA107" s="32">
        <f t="shared" si="69"/>
        <v>6.3526723811818355</v>
      </c>
      <c r="AB107" s="33">
        <f t="shared" si="89"/>
        <v>4.0000000000000036E-2</v>
      </c>
      <c r="AC107" s="34">
        <f t="shared" si="90"/>
        <v>4.2444444444444479E-2</v>
      </c>
      <c r="AD107" s="33">
        <f t="shared" si="91"/>
        <v>0</v>
      </c>
      <c r="AE107" s="34">
        <f t="shared" si="92"/>
        <v>0.13873391111111122</v>
      </c>
      <c r="AI107" s="16">
        <v>100</v>
      </c>
      <c r="AJ107" s="84">
        <v>25.87</v>
      </c>
      <c r="AK107" s="32">
        <f t="shared" si="70"/>
        <v>25.808199999999989</v>
      </c>
      <c r="AL107" s="32">
        <f t="shared" si="71"/>
        <v>7.4500084739969288E-2</v>
      </c>
      <c r="AM107" s="32">
        <f t="shared" si="72"/>
        <v>26.031700254219896</v>
      </c>
      <c r="AN107" s="32">
        <f t="shared" si="73"/>
        <v>25.584699745780082</v>
      </c>
      <c r="AO107" s="32">
        <f t="shared" si="74"/>
        <v>25.957200169479929</v>
      </c>
      <c r="AP107" s="32">
        <f t="shared" si="75"/>
        <v>25.659199830520048</v>
      </c>
      <c r="AQ107" s="32">
        <f t="shared" si="76"/>
        <v>25.882700084739959</v>
      </c>
      <c r="AR107" s="32">
        <f t="shared" si="77"/>
        <v>25.733699915260019</v>
      </c>
      <c r="AS107" s="33">
        <f t="shared" si="93"/>
        <v>9.9999999999980105E-3</v>
      </c>
      <c r="AT107" s="34">
        <f t="shared" si="94"/>
        <v>6.6666666666666249E-2</v>
      </c>
      <c r="AU107" s="34">
        <f t="shared" si="95"/>
        <v>0</v>
      </c>
      <c r="AV107" s="34">
        <f t="shared" si="96"/>
        <v>0.21790666666666531</v>
      </c>
      <c r="AZ107" s="16">
        <v>100</v>
      </c>
      <c r="BA107" s="35">
        <v>25.79</v>
      </c>
      <c r="BB107" s="32">
        <f t="shared" si="78"/>
        <v>25.750800000000005</v>
      </c>
      <c r="BC107" s="32">
        <f t="shared" si="79"/>
        <v>5.7272695206019339E-2</v>
      </c>
      <c r="BD107" s="32">
        <f t="shared" si="80"/>
        <v>25.922618085618062</v>
      </c>
      <c r="BE107" s="32">
        <f t="shared" si="81"/>
        <v>25.578981914381949</v>
      </c>
      <c r="BF107" s="32">
        <f t="shared" si="82"/>
        <v>25.865345390412045</v>
      </c>
      <c r="BG107" s="32">
        <f t="shared" si="83"/>
        <v>25.636254609587965</v>
      </c>
      <c r="BH107" s="32">
        <f t="shared" si="84"/>
        <v>25.808072695206025</v>
      </c>
      <c r="BI107" s="32">
        <f t="shared" si="85"/>
        <v>25.693527304793985</v>
      </c>
      <c r="BJ107" s="33">
        <f t="shared" si="53"/>
        <v>1.0000000000001563E-2</v>
      </c>
      <c r="BK107" s="34">
        <f t="shared" si="97"/>
        <v>3.6565656565656614E-2</v>
      </c>
      <c r="BL107" s="34">
        <f t="shared" si="98"/>
        <v>0</v>
      </c>
      <c r="BM107" s="34">
        <f t="shared" si="99"/>
        <v>0.11951850505050521</v>
      </c>
      <c r="BQ107" s="22">
        <v>100</v>
      </c>
      <c r="BR107" s="121" t="str">
        <f>IF(ISBLANK(Datos!B102),"",(ABS(Datos!B101-Datos!B102)))</f>
        <v/>
      </c>
      <c r="BS107" s="121" t="str">
        <f>IF(ISBLANK(Datos!C102),"",(ABS(Datos!C101-Datos!C102)))</f>
        <v/>
      </c>
      <c r="BT107" s="121" t="str">
        <f>IF(ISBLANK(Datos!D102),"",(ABS(Datos!D101-Datos!D102)))</f>
        <v/>
      </c>
      <c r="BU107" s="21" t="str">
        <f>IF(ISBLANK(Datos!E102),"",(ABS(Datos!E101-Datos!E102)))</f>
        <v/>
      </c>
    </row>
    <row r="108" spans="1:73" x14ac:dyDescent="0.3">
      <c r="A108" s="16">
        <v>101</v>
      </c>
      <c r="B108" s="35"/>
      <c r="C108" s="32" t="e">
        <f t="shared" si="54"/>
        <v>#DIV/0!</v>
      </c>
      <c r="D108" s="32" t="e">
        <f t="shared" si="55"/>
        <v>#DIV/0!</v>
      </c>
      <c r="E108" s="32" t="e">
        <f t="shared" si="56"/>
        <v>#DIV/0!</v>
      </c>
      <c r="F108" s="32" t="e">
        <f t="shared" si="57"/>
        <v>#DIV/0!</v>
      </c>
      <c r="G108" s="32" t="e">
        <f t="shared" si="58"/>
        <v>#DIV/0!</v>
      </c>
      <c r="H108" s="32" t="e">
        <f t="shared" si="59"/>
        <v>#DIV/0!</v>
      </c>
      <c r="I108" s="32" t="e">
        <f t="shared" si="60"/>
        <v>#DIV/0!</v>
      </c>
      <c r="J108" s="32" t="e">
        <f t="shared" si="61"/>
        <v>#DIV/0!</v>
      </c>
      <c r="K108" s="33">
        <f t="shared" si="100"/>
        <v>0</v>
      </c>
      <c r="L108" s="34">
        <f t="shared" si="86"/>
        <v>0</v>
      </c>
      <c r="M108" s="33">
        <f t="shared" si="87"/>
        <v>0</v>
      </c>
      <c r="N108" s="34">
        <f t="shared" si="88"/>
        <v>0</v>
      </c>
      <c r="R108" s="16">
        <v>101</v>
      </c>
      <c r="S108" s="35"/>
      <c r="T108" s="32">
        <f t="shared" si="62"/>
        <v>6.3964700000000017</v>
      </c>
      <c r="U108" s="32">
        <f t="shared" si="63"/>
        <v>4.3797618818166538E-2</v>
      </c>
      <c r="V108" s="32">
        <f t="shared" si="64"/>
        <v>6.5278628564545009</v>
      </c>
      <c r="W108" s="32">
        <f t="shared" si="65"/>
        <v>6.2650771435455024</v>
      </c>
      <c r="X108" s="32">
        <f t="shared" si="66"/>
        <v>6.4840652376363348</v>
      </c>
      <c r="Y108" s="32">
        <f t="shared" si="67"/>
        <v>6.3088747623636685</v>
      </c>
      <c r="Z108" s="32">
        <f t="shared" si="68"/>
        <v>6.4402676188181678</v>
      </c>
      <c r="AA108" s="32">
        <f t="shared" si="69"/>
        <v>6.3526723811818355</v>
      </c>
      <c r="AB108" s="33">
        <f t="shared" si="89"/>
        <v>6.46</v>
      </c>
      <c r="AC108" s="34">
        <f t="shared" si="90"/>
        <v>4.2444444444444479E-2</v>
      </c>
      <c r="AD108" s="33">
        <f t="shared" si="91"/>
        <v>0</v>
      </c>
      <c r="AE108" s="34">
        <f t="shared" si="92"/>
        <v>0.13873391111111122</v>
      </c>
      <c r="AI108" s="16">
        <v>101</v>
      </c>
      <c r="AJ108" s="84"/>
      <c r="AK108" s="32">
        <f t="shared" si="70"/>
        <v>25.808199999999989</v>
      </c>
      <c r="AL108" s="32">
        <f t="shared" si="71"/>
        <v>7.4500084739969288E-2</v>
      </c>
      <c r="AM108" s="32">
        <f t="shared" si="72"/>
        <v>26.031700254219896</v>
      </c>
      <c r="AN108" s="32">
        <f t="shared" si="73"/>
        <v>25.584699745780082</v>
      </c>
      <c r="AO108" s="32">
        <f t="shared" si="74"/>
        <v>25.957200169479929</v>
      </c>
      <c r="AP108" s="32">
        <f t="shared" si="75"/>
        <v>25.659199830520048</v>
      </c>
      <c r="AQ108" s="32">
        <f t="shared" si="76"/>
        <v>25.882700084739959</v>
      </c>
      <c r="AR108" s="32">
        <f t="shared" si="77"/>
        <v>25.733699915260019</v>
      </c>
      <c r="AS108" s="33">
        <f t="shared" si="93"/>
        <v>25.87</v>
      </c>
      <c r="AT108" s="34">
        <f t="shared" si="94"/>
        <v>6.6666666666666249E-2</v>
      </c>
      <c r="AU108" s="34">
        <f t="shared" si="95"/>
        <v>0</v>
      </c>
      <c r="AV108" s="34">
        <f t="shared" si="96"/>
        <v>0.21790666666666531</v>
      </c>
      <c r="AZ108" s="16">
        <v>101</v>
      </c>
      <c r="BA108" s="35"/>
      <c r="BB108" s="32">
        <f t="shared" si="78"/>
        <v>25.750800000000005</v>
      </c>
      <c r="BC108" s="32">
        <f t="shared" si="79"/>
        <v>5.7272695206019339E-2</v>
      </c>
      <c r="BD108" s="32">
        <f t="shared" si="80"/>
        <v>25.922618085618062</v>
      </c>
      <c r="BE108" s="32">
        <f t="shared" si="81"/>
        <v>25.578981914381949</v>
      </c>
      <c r="BF108" s="32">
        <f t="shared" si="82"/>
        <v>25.865345390412045</v>
      </c>
      <c r="BG108" s="32">
        <f t="shared" si="83"/>
        <v>25.636254609587965</v>
      </c>
      <c r="BH108" s="32">
        <f t="shared" si="84"/>
        <v>25.808072695206025</v>
      </c>
      <c r="BI108" s="32">
        <f t="shared" si="85"/>
        <v>25.693527304793985</v>
      </c>
      <c r="BJ108" s="33">
        <f t="shared" si="53"/>
        <v>25.79</v>
      </c>
      <c r="BK108" s="34">
        <f t="shared" si="97"/>
        <v>3.6565656565656614E-2</v>
      </c>
      <c r="BL108" s="34">
        <f t="shared" si="98"/>
        <v>0</v>
      </c>
      <c r="BM108" s="34">
        <f t="shared" si="99"/>
        <v>0.11951850505050521</v>
      </c>
      <c r="BQ108" s="22">
        <v>101</v>
      </c>
      <c r="BR108" s="121" t="str">
        <f>IF(ISBLANK(Datos!B103),"",(ABS(Datos!B102-Datos!B103)))</f>
        <v/>
      </c>
      <c r="BS108" s="121" t="str">
        <f>IF(ISBLANK(Datos!C103),"",(ABS(Datos!C102-Datos!C103)))</f>
        <v/>
      </c>
      <c r="BT108" s="121" t="str">
        <f>IF(ISBLANK(Datos!D103),"",(ABS(Datos!D102-Datos!D103)))</f>
        <v/>
      </c>
      <c r="BU108" s="21" t="str">
        <f>IF(ISBLANK(Datos!E103),"",(ABS(Datos!E102-Datos!E103)))</f>
        <v/>
      </c>
    </row>
    <row r="109" spans="1:73" x14ac:dyDescent="0.3">
      <c r="A109" s="16">
        <v>102</v>
      </c>
      <c r="B109" s="35"/>
      <c r="C109" s="32" t="e">
        <f t="shared" si="54"/>
        <v>#DIV/0!</v>
      </c>
      <c r="D109" s="32" t="e">
        <f t="shared" si="55"/>
        <v>#DIV/0!</v>
      </c>
      <c r="E109" s="32" t="e">
        <f t="shared" si="56"/>
        <v>#DIV/0!</v>
      </c>
      <c r="F109" s="32" t="e">
        <f t="shared" si="57"/>
        <v>#DIV/0!</v>
      </c>
      <c r="G109" s="32" t="e">
        <f t="shared" si="58"/>
        <v>#DIV/0!</v>
      </c>
      <c r="H109" s="32" t="e">
        <f t="shared" si="59"/>
        <v>#DIV/0!</v>
      </c>
      <c r="I109" s="32" t="e">
        <f t="shared" si="60"/>
        <v>#DIV/0!</v>
      </c>
      <c r="J109" s="32" t="e">
        <f t="shared" si="61"/>
        <v>#DIV/0!</v>
      </c>
      <c r="K109" s="33">
        <f t="shared" si="100"/>
        <v>0</v>
      </c>
      <c r="L109" s="34">
        <f t="shared" si="86"/>
        <v>0</v>
      </c>
      <c r="M109" s="33">
        <f t="shared" si="87"/>
        <v>0</v>
      </c>
      <c r="N109" s="34">
        <f t="shared" si="88"/>
        <v>0</v>
      </c>
      <c r="R109" s="16">
        <v>102</v>
      </c>
      <c r="S109" s="35"/>
      <c r="T109" s="32">
        <f t="shared" si="62"/>
        <v>6.3964700000000017</v>
      </c>
      <c r="U109" s="32">
        <f t="shared" si="63"/>
        <v>4.3797618818166538E-2</v>
      </c>
      <c r="V109" s="32">
        <f t="shared" si="64"/>
        <v>6.5278628564545009</v>
      </c>
      <c r="W109" s="32">
        <f t="shared" si="65"/>
        <v>6.2650771435455024</v>
      </c>
      <c r="X109" s="32">
        <f t="shared" si="66"/>
        <v>6.4840652376363348</v>
      </c>
      <c r="Y109" s="32">
        <f t="shared" si="67"/>
        <v>6.3088747623636685</v>
      </c>
      <c r="Z109" s="32">
        <f t="shared" si="68"/>
        <v>6.4402676188181678</v>
      </c>
      <c r="AA109" s="32">
        <f t="shared" si="69"/>
        <v>6.3526723811818355</v>
      </c>
      <c r="AB109" s="33">
        <f t="shared" si="89"/>
        <v>0</v>
      </c>
      <c r="AC109" s="34">
        <f t="shared" si="90"/>
        <v>4.2444444444444479E-2</v>
      </c>
      <c r="AD109" s="33">
        <f t="shared" si="91"/>
        <v>0</v>
      </c>
      <c r="AE109" s="34">
        <f t="shared" si="92"/>
        <v>0.13873391111111122</v>
      </c>
      <c r="AI109" s="16">
        <v>102</v>
      </c>
      <c r="AJ109" s="84"/>
      <c r="AK109" s="32">
        <f t="shared" si="70"/>
        <v>25.808199999999989</v>
      </c>
      <c r="AL109" s="32">
        <f t="shared" si="71"/>
        <v>7.4500084739969288E-2</v>
      </c>
      <c r="AM109" s="32">
        <f t="shared" si="72"/>
        <v>26.031700254219896</v>
      </c>
      <c r="AN109" s="32">
        <f t="shared" si="73"/>
        <v>25.584699745780082</v>
      </c>
      <c r="AO109" s="32">
        <f t="shared" si="74"/>
        <v>25.957200169479929</v>
      </c>
      <c r="AP109" s="32">
        <f t="shared" si="75"/>
        <v>25.659199830520048</v>
      </c>
      <c r="AQ109" s="32">
        <f t="shared" si="76"/>
        <v>25.882700084739959</v>
      </c>
      <c r="AR109" s="32">
        <f t="shared" si="77"/>
        <v>25.733699915260019</v>
      </c>
      <c r="AS109" s="33">
        <f t="shared" si="93"/>
        <v>0</v>
      </c>
      <c r="AT109" s="34">
        <f t="shared" si="94"/>
        <v>6.6666666666666249E-2</v>
      </c>
      <c r="AU109" s="34">
        <f t="shared" si="95"/>
        <v>0</v>
      </c>
      <c r="AV109" s="34">
        <f t="shared" si="96"/>
        <v>0.21790666666666531</v>
      </c>
      <c r="AZ109" s="16">
        <v>102</v>
      </c>
      <c r="BA109" s="35"/>
      <c r="BB109" s="32">
        <f t="shared" si="78"/>
        <v>25.750800000000005</v>
      </c>
      <c r="BC109" s="32">
        <f t="shared" si="79"/>
        <v>5.7272695206019339E-2</v>
      </c>
      <c r="BD109" s="32">
        <f t="shared" si="80"/>
        <v>25.922618085618062</v>
      </c>
      <c r="BE109" s="32">
        <f t="shared" si="81"/>
        <v>25.578981914381949</v>
      </c>
      <c r="BF109" s="32">
        <f t="shared" si="82"/>
        <v>25.865345390412045</v>
      </c>
      <c r="BG109" s="32">
        <f t="shared" si="83"/>
        <v>25.636254609587965</v>
      </c>
      <c r="BH109" s="32">
        <f t="shared" si="84"/>
        <v>25.808072695206025</v>
      </c>
      <c r="BI109" s="32">
        <f t="shared" si="85"/>
        <v>25.693527304793985</v>
      </c>
      <c r="BJ109" s="33">
        <f t="shared" si="53"/>
        <v>0</v>
      </c>
      <c r="BK109" s="34">
        <f t="shared" si="97"/>
        <v>3.6565656565656614E-2</v>
      </c>
      <c r="BL109" s="34">
        <f t="shared" si="98"/>
        <v>0</v>
      </c>
      <c r="BM109" s="34">
        <f t="shared" si="99"/>
        <v>0.11951850505050521</v>
      </c>
      <c r="BQ109" s="22">
        <v>102</v>
      </c>
      <c r="BR109" s="121" t="str">
        <f>IF(ISBLANK(Datos!B104),"",(ABS(Datos!B103-Datos!B104)))</f>
        <v/>
      </c>
      <c r="BS109" s="121" t="str">
        <f>IF(ISBLANK(Datos!C104),"",(ABS(Datos!C103-Datos!C104)))</f>
        <v/>
      </c>
      <c r="BT109" s="121" t="str">
        <f>IF(ISBLANK(Datos!D104),"",(ABS(Datos!D103-Datos!D104)))</f>
        <v/>
      </c>
      <c r="BU109" s="21" t="str">
        <f>IF(ISBLANK(Datos!E104),"",(ABS(Datos!E103-Datos!E104)))</f>
        <v/>
      </c>
    </row>
    <row r="110" spans="1:73" x14ac:dyDescent="0.3">
      <c r="A110" s="16">
        <v>103</v>
      </c>
      <c r="B110" s="35"/>
      <c r="C110" s="32" t="e">
        <f t="shared" si="54"/>
        <v>#DIV/0!</v>
      </c>
      <c r="D110" s="32" t="e">
        <f t="shared" si="55"/>
        <v>#DIV/0!</v>
      </c>
      <c r="E110" s="32" t="e">
        <f t="shared" si="56"/>
        <v>#DIV/0!</v>
      </c>
      <c r="F110" s="32" t="e">
        <f t="shared" si="57"/>
        <v>#DIV/0!</v>
      </c>
      <c r="G110" s="32" t="e">
        <f t="shared" si="58"/>
        <v>#DIV/0!</v>
      </c>
      <c r="H110" s="32" t="e">
        <f t="shared" si="59"/>
        <v>#DIV/0!</v>
      </c>
      <c r="I110" s="32" t="e">
        <f t="shared" si="60"/>
        <v>#DIV/0!</v>
      </c>
      <c r="J110" s="32" t="e">
        <f t="shared" si="61"/>
        <v>#DIV/0!</v>
      </c>
      <c r="K110" s="33">
        <f t="shared" si="100"/>
        <v>0</v>
      </c>
      <c r="L110" s="34">
        <f t="shared" si="86"/>
        <v>0</v>
      </c>
      <c r="M110" s="33">
        <f t="shared" si="87"/>
        <v>0</v>
      </c>
      <c r="N110" s="34">
        <f t="shared" si="88"/>
        <v>0</v>
      </c>
      <c r="R110" s="16">
        <v>103</v>
      </c>
      <c r="S110" s="35"/>
      <c r="T110" s="32">
        <f t="shared" si="62"/>
        <v>6.3964700000000017</v>
      </c>
      <c r="U110" s="32">
        <f t="shared" si="63"/>
        <v>4.3797618818166538E-2</v>
      </c>
      <c r="V110" s="32">
        <f t="shared" si="64"/>
        <v>6.5278628564545009</v>
      </c>
      <c r="W110" s="32">
        <f t="shared" si="65"/>
        <v>6.2650771435455024</v>
      </c>
      <c r="X110" s="32">
        <f t="shared" si="66"/>
        <v>6.4840652376363348</v>
      </c>
      <c r="Y110" s="32">
        <f t="shared" si="67"/>
        <v>6.3088747623636685</v>
      </c>
      <c r="Z110" s="32">
        <f t="shared" si="68"/>
        <v>6.4402676188181678</v>
      </c>
      <c r="AA110" s="32">
        <f t="shared" si="69"/>
        <v>6.3526723811818355</v>
      </c>
      <c r="AB110" s="33">
        <f t="shared" si="89"/>
        <v>0</v>
      </c>
      <c r="AC110" s="34">
        <f t="shared" si="90"/>
        <v>4.2444444444444479E-2</v>
      </c>
      <c r="AD110" s="33">
        <f t="shared" si="91"/>
        <v>0</v>
      </c>
      <c r="AE110" s="34">
        <f t="shared" si="92"/>
        <v>0.13873391111111122</v>
      </c>
      <c r="AI110" s="16">
        <v>103</v>
      </c>
      <c r="AJ110" s="84"/>
      <c r="AK110" s="32">
        <f t="shared" si="70"/>
        <v>25.808199999999989</v>
      </c>
      <c r="AL110" s="32">
        <f t="shared" si="71"/>
        <v>7.4500084739969288E-2</v>
      </c>
      <c r="AM110" s="32">
        <f t="shared" si="72"/>
        <v>26.031700254219896</v>
      </c>
      <c r="AN110" s="32">
        <f t="shared" si="73"/>
        <v>25.584699745780082</v>
      </c>
      <c r="AO110" s="32">
        <f t="shared" si="74"/>
        <v>25.957200169479929</v>
      </c>
      <c r="AP110" s="32">
        <f t="shared" si="75"/>
        <v>25.659199830520048</v>
      </c>
      <c r="AQ110" s="32">
        <f t="shared" si="76"/>
        <v>25.882700084739959</v>
      </c>
      <c r="AR110" s="32">
        <f t="shared" si="77"/>
        <v>25.733699915260019</v>
      </c>
      <c r="AS110" s="33">
        <f t="shared" si="93"/>
        <v>0</v>
      </c>
      <c r="AT110" s="34">
        <f t="shared" si="94"/>
        <v>6.6666666666666249E-2</v>
      </c>
      <c r="AU110" s="34">
        <f t="shared" si="95"/>
        <v>0</v>
      </c>
      <c r="AV110" s="34">
        <f t="shared" si="96"/>
        <v>0.21790666666666531</v>
      </c>
      <c r="AZ110" s="16">
        <v>103</v>
      </c>
      <c r="BA110" s="35"/>
      <c r="BB110" s="32">
        <f t="shared" si="78"/>
        <v>25.750800000000005</v>
      </c>
      <c r="BC110" s="32">
        <f t="shared" si="79"/>
        <v>5.7272695206019339E-2</v>
      </c>
      <c r="BD110" s="32">
        <f t="shared" si="80"/>
        <v>25.922618085618062</v>
      </c>
      <c r="BE110" s="32">
        <f t="shared" si="81"/>
        <v>25.578981914381949</v>
      </c>
      <c r="BF110" s="32">
        <f t="shared" si="82"/>
        <v>25.865345390412045</v>
      </c>
      <c r="BG110" s="32">
        <f t="shared" si="83"/>
        <v>25.636254609587965</v>
      </c>
      <c r="BH110" s="32">
        <f t="shared" si="84"/>
        <v>25.808072695206025</v>
      </c>
      <c r="BI110" s="32">
        <f t="shared" si="85"/>
        <v>25.693527304793985</v>
      </c>
      <c r="BJ110" s="33">
        <f t="shared" si="53"/>
        <v>0</v>
      </c>
      <c r="BK110" s="34">
        <f t="shared" si="97"/>
        <v>3.6565656565656614E-2</v>
      </c>
      <c r="BL110" s="34">
        <f t="shared" si="98"/>
        <v>0</v>
      </c>
      <c r="BM110" s="34">
        <f t="shared" si="99"/>
        <v>0.11951850505050521</v>
      </c>
      <c r="BQ110" s="22">
        <v>103</v>
      </c>
      <c r="BR110" s="121" t="str">
        <f>IF(ISBLANK(Datos!B105),"",(ABS(Datos!B104-Datos!B105)))</f>
        <v/>
      </c>
      <c r="BS110" s="121" t="str">
        <f>IF(ISBLANK(Datos!C105),"",(ABS(Datos!C104-Datos!C105)))</f>
        <v/>
      </c>
      <c r="BT110" s="121" t="str">
        <f>IF(ISBLANK(Datos!D105),"",(ABS(Datos!D104-Datos!D105)))</f>
        <v/>
      </c>
      <c r="BU110" s="21" t="str">
        <f>IF(ISBLANK(Datos!E105),"",(ABS(Datos!E104-Datos!E105)))</f>
        <v/>
      </c>
    </row>
    <row r="111" spans="1:73" x14ac:dyDescent="0.3">
      <c r="A111" s="16">
        <v>104</v>
      </c>
      <c r="B111" s="35"/>
      <c r="C111" s="32" t="e">
        <f t="shared" si="54"/>
        <v>#DIV/0!</v>
      </c>
      <c r="D111" s="32" t="e">
        <f t="shared" si="55"/>
        <v>#DIV/0!</v>
      </c>
      <c r="E111" s="32" t="e">
        <f t="shared" si="56"/>
        <v>#DIV/0!</v>
      </c>
      <c r="F111" s="32" t="e">
        <f t="shared" si="57"/>
        <v>#DIV/0!</v>
      </c>
      <c r="G111" s="32" t="e">
        <f t="shared" si="58"/>
        <v>#DIV/0!</v>
      </c>
      <c r="H111" s="32" t="e">
        <f t="shared" si="59"/>
        <v>#DIV/0!</v>
      </c>
      <c r="I111" s="32" t="e">
        <f t="shared" si="60"/>
        <v>#DIV/0!</v>
      </c>
      <c r="J111" s="32" t="e">
        <f t="shared" si="61"/>
        <v>#DIV/0!</v>
      </c>
      <c r="K111" s="33">
        <f t="shared" si="100"/>
        <v>0</v>
      </c>
      <c r="L111" s="34">
        <f t="shared" si="86"/>
        <v>0</v>
      </c>
      <c r="M111" s="33">
        <f t="shared" si="87"/>
        <v>0</v>
      </c>
      <c r="N111" s="34">
        <f t="shared" si="88"/>
        <v>0</v>
      </c>
      <c r="R111" s="16">
        <v>104</v>
      </c>
      <c r="S111" s="35"/>
      <c r="T111" s="32">
        <f t="shared" si="62"/>
        <v>6.3964700000000017</v>
      </c>
      <c r="U111" s="32">
        <f t="shared" si="63"/>
        <v>4.3797618818166538E-2</v>
      </c>
      <c r="V111" s="32">
        <f t="shared" si="64"/>
        <v>6.5278628564545009</v>
      </c>
      <c r="W111" s="32">
        <f t="shared" si="65"/>
        <v>6.2650771435455024</v>
      </c>
      <c r="X111" s="32">
        <f t="shared" si="66"/>
        <v>6.4840652376363348</v>
      </c>
      <c r="Y111" s="32">
        <f t="shared" si="67"/>
        <v>6.3088747623636685</v>
      </c>
      <c r="Z111" s="32">
        <f t="shared" si="68"/>
        <v>6.4402676188181678</v>
      </c>
      <c r="AA111" s="32">
        <f t="shared" si="69"/>
        <v>6.3526723811818355</v>
      </c>
      <c r="AB111" s="33">
        <f t="shared" si="89"/>
        <v>0</v>
      </c>
      <c r="AC111" s="34">
        <f t="shared" si="90"/>
        <v>4.2444444444444479E-2</v>
      </c>
      <c r="AD111" s="33">
        <f t="shared" si="91"/>
        <v>0</v>
      </c>
      <c r="AE111" s="34">
        <f t="shared" si="92"/>
        <v>0.13873391111111122</v>
      </c>
      <c r="AI111" s="16">
        <v>104</v>
      </c>
      <c r="AJ111" s="84"/>
      <c r="AK111" s="32">
        <f t="shared" si="70"/>
        <v>25.808199999999989</v>
      </c>
      <c r="AL111" s="32">
        <f t="shared" si="71"/>
        <v>7.4500084739969288E-2</v>
      </c>
      <c r="AM111" s="32">
        <f t="shared" si="72"/>
        <v>26.031700254219896</v>
      </c>
      <c r="AN111" s="32">
        <f t="shared" si="73"/>
        <v>25.584699745780082</v>
      </c>
      <c r="AO111" s="32">
        <f t="shared" si="74"/>
        <v>25.957200169479929</v>
      </c>
      <c r="AP111" s="32">
        <f t="shared" si="75"/>
        <v>25.659199830520048</v>
      </c>
      <c r="AQ111" s="32">
        <f t="shared" si="76"/>
        <v>25.882700084739959</v>
      </c>
      <c r="AR111" s="32">
        <f t="shared" si="77"/>
        <v>25.733699915260019</v>
      </c>
      <c r="AS111" s="33">
        <f t="shared" si="93"/>
        <v>0</v>
      </c>
      <c r="AT111" s="34">
        <f t="shared" si="94"/>
        <v>6.6666666666666249E-2</v>
      </c>
      <c r="AU111" s="34">
        <f t="shared" si="95"/>
        <v>0</v>
      </c>
      <c r="AV111" s="34">
        <f t="shared" si="96"/>
        <v>0.21790666666666531</v>
      </c>
      <c r="AZ111" s="16">
        <v>104</v>
      </c>
      <c r="BA111" s="35"/>
      <c r="BB111" s="32">
        <f t="shared" si="78"/>
        <v>25.750800000000005</v>
      </c>
      <c r="BC111" s="32">
        <f t="shared" si="79"/>
        <v>5.7272695206019339E-2</v>
      </c>
      <c r="BD111" s="32">
        <f t="shared" si="80"/>
        <v>25.922618085618062</v>
      </c>
      <c r="BE111" s="32">
        <f t="shared" si="81"/>
        <v>25.578981914381949</v>
      </c>
      <c r="BF111" s="32">
        <f t="shared" si="82"/>
        <v>25.865345390412045</v>
      </c>
      <c r="BG111" s="32">
        <f t="shared" si="83"/>
        <v>25.636254609587965</v>
      </c>
      <c r="BH111" s="32">
        <f t="shared" si="84"/>
        <v>25.808072695206025</v>
      </c>
      <c r="BI111" s="32">
        <f t="shared" si="85"/>
        <v>25.693527304793985</v>
      </c>
      <c r="BJ111" s="33">
        <f t="shared" si="53"/>
        <v>0</v>
      </c>
      <c r="BK111" s="34">
        <f t="shared" si="97"/>
        <v>3.6565656565656614E-2</v>
      </c>
      <c r="BL111" s="34">
        <f t="shared" si="98"/>
        <v>0</v>
      </c>
      <c r="BM111" s="34">
        <f t="shared" si="99"/>
        <v>0.11951850505050521</v>
      </c>
      <c r="BQ111" s="22">
        <v>104</v>
      </c>
      <c r="BR111" s="121" t="str">
        <f>IF(ISBLANK(Datos!B106),"",(ABS(Datos!B105-Datos!B106)))</f>
        <v/>
      </c>
      <c r="BS111" s="121" t="str">
        <f>IF(ISBLANK(Datos!C106),"",(ABS(Datos!C105-Datos!C106)))</f>
        <v/>
      </c>
      <c r="BT111" s="121" t="str">
        <f>IF(ISBLANK(Datos!D106),"",(ABS(Datos!D105-Datos!D106)))</f>
        <v/>
      </c>
      <c r="BU111" s="21" t="str">
        <f>IF(ISBLANK(Datos!E106),"",(ABS(Datos!E105-Datos!E106)))</f>
        <v/>
      </c>
    </row>
    <row r="112" spans="1:73" x14ac:dyDescent="0.3">
      <c r="A112" s="16">
        <v>105</v>
      </c>
      <c r="B112" s="35"/>
      <c r="C112" s="32" t="e">
        <f t="shared" si="54"/>
        <v>#DIV/0!</v>
      </c>
      <c r="D112" s="32" t="e">
        <f t="shared" si="55"/>
        <v>#DIV/0!</v>
      </c>
      <c r="E112" s="32" t="e">
        <f t="shared" si="56"/>
        <v>#DIV/0!</v>
      </c>
      <c r="F112" s="32" t="e">
        <f t="shared" si="57"/>
        <v>#DIV/0!</v>
      </c>
      <c r="G112" s="32" t="e">
        <f t="shared" si="58"/>
        <v>#DIV/0!</v>
      </c>
      <c r="H112" s="32" t="e">
        <f t="shared" si="59"/>
        <v>#DIV/0!</v>
      </c>
      <c r="I112" s="32" t="e">
        <f t="shared" si="60"/>
        <v>#DIV/0!</v>
      </c>
      <c r="J112" s="32" t="e">
        <f t="shared" si="61"/>
        <v>#DIV/0!</v>
      </c>
      <c r="K112" s="33">
        <f t="shared" si="100"/>
        <v>0</v>
      </c>
      <c r="L112" s="34">
        <f t="shared" si="86"/>
        <v>0</v>
      </c>
      <c r="M112" s="33">
        <f t="shared" si="87"/>
        <v>0</v>
      </c>
      <c r="N112" s="34">
        <f t="shared" si="88"/>
        <v>0</v>
      </c>
      <c r="R112" s="16">
        <v>105</v>
      </c>
      <c r="S112" s="35"/>
      <c r="T112" s="32">
        <f t="shared" si="62"/>
        <v>6.3964700000000017</v>
      </c>
      <c r="U112" s="32">
        <f t="shared" si="63"/>
        <v>4.3797618818166538E-2</v>
      </c>
      <c r="V112" s="32">
        <f t="shared" si="64"/>
        <v>6.5278628564545009</v>
      </c>
      <c r="W112" s="32">
        <f t="shared" si="65"/>
        <v>6.2650771435455024</v>
      </c>
      <c r="X112" s="32">
        <f t="shared" si="66"/>
        <v>6.4840652376363348</v>
      </c>
      <c r="Y112" s="32">
        <f t="shared" si="67"/>
        <v>6.3088747623636685</v>
      </c>
      <c r="Z112" s="32">
        <f t="shared" si="68"/>
        <v>6.4402676188181678</v>
      </c>
      <c r="AA112" s="32">
        <f t="shared" si="69"/>
        <v>6.3526723811818355</v>
      </c>
      <c r="AB112" s="33">
        <f t="shared" si="89"/>
        <v>0</v>
      </c>
      <c r="AC112" s="34">
        <f t="shared" si="90"/>
        <v>4.2444444444444479E-2</v>
      </c>
      <c r="AD112" s="33">
        <f t="shared" si="91"/>
        <v>0</v>
      </c>
      <c r="AE112" s="34">
        <f t="shared" si="92"/>
        <v>0.13873391111111122</v>
      </c>
      <c r="AI112" s="16">
        <v>105</v>
      </c>
      <c r="AJ112" s="84"/>
      <c r="AK112" s="32">
        <f t="shared" si="70"/>
        <v>25.808199999999989</v>
      </c>
      <c r="AL112" s="32">
        <f t="shared" si="71"/>
        <v>7.4500084739969288E-2</v>
      </c>
      <c r="AM112" s="32">
        <f t="shared" si="72"/>
        <v>26.031700254219896</v>
      </c>
      <c r="AN112" s="32">
        <f t="shared" si="73"/>
        <v>25.584699745780082</v>
      </c>
      <c r="AO112" s="32">
        <f t="shared" si="74"/>
        <v>25.957200169479929</v>
      </c>
      <c r="AP112" s="32">
        <f t="shared" si="75"/>
        <v>25.659199830520048</v>
      </c>
      <c r="AQ112" s="32">
        <f t="shared" si="76"/>
        <v>25.882700084739959</v>
      </c>
      <c r="AR112" s="32">
        <f t="shared" si="77"/>
        <v>25.733699915260019</v>
      </c>
      <c r="AS112" s="33">
        <f t="shared" si="93"/>
        <v>0</v>
      </c>
      <c r="AT112" s="34">
        <f t="shared" si="94"/>
        <v>6.6666666666666249E-2</v>
      </c>
      <c r="AU112" s="34">
        <f t="shared" si="95"/>
        <v>0</v>
      </c>
      <c r="AV112" s="34">
        <f t="shared" si="96"/>
        <v>0.21790666666666531</v>
      </c>
      <c r="AZ112" s="16">
        <v>105</v>
      </c>
      <c r="BA112" s="35"/>
      <c r="BB112" s="32">
        <f t="shared" si="78"/>
        <v>25.750800000000005</v>
      </c>
      <c r="BC112" s="32">
        <f t="shared" si="79"/>
        <v>5.7272695206019339E-2</v>
      </c>
      <c r="BD112" s="32">
        <f t="shared" si="80"/>
        <v>25.922618085618062</v>
      </c>
      <c r="BE112" s="32">
        <f t="shared" si="81"/>
        <v>25.578981914381949</v>
      </c>
      <c r="BF112" s="32">
        <f t="shared" si="82"/>
        <v>25.865345390412045</v>
      </c>
      <c r="BG112" s="32">
        <f t="shared" si="83"/>
        <v>25.636254609587965</v>
      </c>
      <c r="BH112" s="32">
        <f t="shared" si="84"/>
        <v>25.808072695206025</v>
      </c>
      <c r="BI112" s="32">
        <f t="shared" si="85"/>
        <v>25.693527304793985</v>
      </c>
      <c r="BJ112" s="33">
        <f t="shared" si="53"/>
        <v>0</v>
      </c>
      <c r="BK112" s="34">
        <f t="shared" si="97"/>
        <v>3.6565656565656614E-2</v>
      </c>
      <c r="BL112" s="34">
        <f t="shared" si="98"/>
        <v>0</v>
      </c>
      <c r="BM112" s="34">
        <f t="shared" si="99"/>
        <v>0.11951850505050521</v>
      </c>
      <c r="BQ112" s="22">
        <v>105</v>
      </c>
      <c r="BR112" s="121" t="str">
        <f>IF(ISBLANK(Datos!B107),"",(ABS(Datos!B106-Datos!B107)))</f>
        <v/>
      </c>
      <c r="BS112" s="121" t="str">
        <f>IF(ISBLANK(Datos!C107),"",(ABS(Datos!C106-Datos!C107)))</f>
        <v/>
      </c>
      <c r="BT112" s="121" t="str">
        <f>IF(ISBLANK(Datos!D107),"",(ABS(Datos!D106-Datos!D107)))</f>
        <v/>
      </c>
      <c r="BU112" s="21" t="str">
        <f>IF(ISBLANK(Datos!E107),"",(ABS(Datos!E106-Datos!E107)))</f>
        <v/>
      </c>
    </row>
    <row r="113" spans="1:73" x14ac:dyDescent="0.3">
      <c r="A113" s="16">
        <v>106</v>
      </c>
      <c r="B113" s="35"/>
      <c r="C113" s="32" t="e">
        <f t="shared" si="54"/>
        <v>#DIV/0!</v>
      </c>
      <c r="D113" s="32" t="e">
        <f t="shared" si="55"/>
        <v>#DIV/0!</v>
      </c>
      <c r="E113" s="32" t="e">
        <f t="shared" si="56"/>
        <v>#DIV/0!</v>
      </c>
      <c r="F113" s="32" t="e">
        <f t="shared" si="57"/>
        <v>#DIV/0!</v>
      </c>
      <c r="G113" s="32" t="e">
        <f t="shared" si="58"/>
        <v>#DIV/0!</v>
      </c>
      <c r="H113" s="32" t="e">
        <f t="shared" si="59"/>
        <v>#DIV/0!</v>
      </c>
      <c r="I113" s="32" t="e">
        <f t="shared" si="60"/>
        <v>#DIV/0!</v>
      </c>
      <c r="J113" s="32" t="e">
        <f t="shared" si="61"/>
        <v>#DIV/0!</v>
      </c>
      <c r="K113" s="33">
        <f t="shared" si="100"/>
        <v>0</v>
      </c>
      <c r="L113" s="34">
        <f t="shared" si="86"/>
        <v>0</v>
      </c>
      <c r="M113" s="33">
        <f t="shared" si="87"/>
        <v>0</v>
      </c>
      <c r="N113" s="34">
        <f t="shared" si="88"/>
        <v>0</v>
      </c>
      <c r="R113" s="16">
        <v>106</v>
      </c>
      <c r="S113" s="35"/>
      <c r="T113" s="32">
        <f t="shared" si="62"/>
        <v>6.3964700000000017</v>
      </c>
      <c r="U113" s="32">
        <f t="shared" si="63"/>
        <v>4.3797618818166538E-2</v>
      </c>
      <c r="V113" s="32">
        <f t="shared" si="64"/>
        <v>6.5278628564545009</v>
      </c>
      <c r="W113" s="32">
        <f t="shared" si="65"/>
        <v>6.2650771435455024</v>
      </c>
      <c r="X113" s="32">
        <f t="shared" si="66"/>
        <v>6.4840652376363348</v>
      </c>
      <c r="Y113" s="32">
        <f t="shared" si="67"/>
        <v>6.3088747623636685</v>
      </c>
      <c r="Z113" s="32">
        <f t="shared" si="68"/>
        <v>6.4402676188181678</v>
      </c>
      <c r="AA113" s="32">
        <f t="shared" si="69"/>
        <v>6.3526723811818355</v>
      </c>
      <c r="AB113" s="33">
        <f t="shared" si="89"/>
        <v>0</v>
      </c>
      <c r="AC113" s="34">
        <f t="shared" si="90"/>
        <v>4.2444444444444479E-2</v>
      </c>
      <c r="AD113" s="33">
        <f t="shared" si="91"/>
        <v>0</v>
      </c>
      <c r="AE113" s="34">
        <f t="shared" si="92"/>
        <v>0.13873391111111122</v>
      </c>
      <c r="AI113" s="16">
        <v>106</v>
      </c>
      <c r="AJ113" s="84"/>
      <c r="AK113" s="32">
        <f t="shared" si="70"/>
        <v>25.808199999999989</v>
      </c>
      <c r="AL113" s="32">
        <f t="shared" si="71"/>
        <v>7.4500084739969288E-2</v>
      </c>
      <c r="AM113" s="32">
        <f t="shared" si="72"/>
        <v>26.031700254219896</v>
      </c>
      <c r="AN113" s="32">
        <f t="shared" si="73"/>
        <v>25.584699745780082</v>
      </c>
      <c r="AO113" s="32">
        <f t="shared" si="74"/>
        <v>25.957200169479929</v>
      </c>
      <c r="AP113" s="32">
        <f t="shared" si="75"/>
        <v>25.659199830520048</v>
      </c>
      <c r="AQ113" s="32">
        <f t="shared" si="76"/>
        <v>25.882700084739959</v>
      </c>
      <c r="AR113" s="32">
        <f t="shared" si="77"/>
        <v>25.733699915260019</v>
      </c>
      <c r="AS113" s="33">
        <f t="shared" si="93"/>
        <v>0</v>
      </c>
      <c r="AT113" s="34">
        <f t="shared" si="94"/>
        <v>6.6666666666666249E-2</v>
      </c>
      <c r="AU113" s="34">
        <f t="shared" si="95"/>
        <v>0</v>
      </c>
      <c r="AV113" s="34">
        <f t="shared" si="96"/>
        <v>0.21790666666666531</v>
      </c>
      <c r="AZ113" s="16">
        <v>106</v>
      </c>
      <c r="BA113" s="35"/>
      <c r="BB113" s="32">
        <f t="shared" si="78"/>
        <v>25.750800000000005</v>
      </c>
      <c r="BC113" s="32">
        <f t="shared" si="79"/>
        <v>5.7272695206019339E-2</v>
      </c>
      <c r="BD113" s="32">
        <f t="shared" si="80"/>
        <v>25.922618085618062</v>
      </c>
      <c r="BE113" s="32">
        <f t="shared" si="81"/>
        <v>25.578981914381949</v>
      </c>
      <c r="BF113" s="32">
        <f t="shared" si="82"/>
        <v>25.865345390412045</v>
      </c>
      <c r="BG113" s="32">
        <f t="shared" si="83"/>
        <v>25.636254609587965</v>
      </c>
      <c r="BH113" s="32">
        <f t="shared" si="84"/>
        <v>25.808072695206025</v>
      </c>
      <c r="BI113" s="32">
        <f t="shared" si="85"/>
        <v>25.693527304793985</v>
      </c>
      <c r="BJ113" s="33">
        <f t="shared" si="53"/>
        <v>0</v>
      </c>
      <c r="BK113" s="34">
        <f t="shared" si="97"/>
        <v>3.6565656565656614E-2</v>
      </c>
      <c r="BL113" s="34">
        <f t="shared" si="98"/>
        <v>0</v>
      </c>
      <c r="BM113" s="34">
        <f t="shared" si="99"/>
        <v>0.11951850505050521</v>
      </c>
      <c r="BQ113" s="22">
        <v>106</v>
      </c>
      <c r="BR113" s="121" t="str">
        <f>IF(ISBLANK(Datos!B108),"",(ABS(Datos!B107-Datos!B108)))</f>
        <v/>
      </c>
      <c r="BS113" s="121" t="str">
        <f>IF(ISBLANK(Datos!C108),"",(ABS(Datos!C107-Datos!C108)))</f>
        <v/>
      </c>
      <c r="BT113" s="121" t="str">
        <f>IF(ISBLANK(Datos!D108),"",(ABS(Datos!D107-Datos!D108)))</f>
        <v/>
      </c>
      <c r="BU113" s="21" t="str">
        <f>IF(ISBLANK(Datos!E108),"",(ABS(Datos!E107-Datos!E108)))</f>
        <v/>
      </c>
    </row>
    <row r="114" spans="1:73" x14ac:dyDescent="0.3">
      <c r="A114" s="16">
        <v>107</v>
      </c>
      <c r="B114" s="35"/>
      <c r="C114" s="32" t="e">
        <f t="shared" si="54"/>
        <v>#DIV/0!</v>
      </c>
      <c r="D114" s="32" t="e">
        <f t="shared" si="55"/>
        <v>#DIV/0!</v>
      </c>
      <c r="E114" s="32" t="e">
        <f t="shared" si="56"/>
        <v>#DIV/0!</v>
      </c>
      <c r="F114" s="32" t="e">
        <f t="shared" si="57"/>
        <v>#DIV/0!</v>
      </c>
      <c r="G114" s="32" t="e">
        <f t="shared" si="58"/>
        <v>#DIV/0!</v>
      </c>
      <c r="H114" s="32" t="e">
        <f t="shared" si="59"/>
        <v>#DIV/0!</v>
      </c>
      <c r="I114" s="32" t="e">
        <f t="shared" si="60"/>
        <v>#DIV/0!</v>
      </c>
      <c r="J114" s="32" t="e">
        <f t="shared" si="61"/>
        <v>#DIV/0!</v>
      </c>
      <c r="K114" s="33">
        <f t="shared" si="100"/>
        <v>0</v>
      </c>
      <c r="L114" s="34">
        <f t="shared" si="86"/>
        <v>0</v>
      </c>
      <c r="M114" s="33">
        <f t="shared" si="87"/>
        <v>0</v>
      </c>
      <c r="N114" s="34">
        <f t="shared" si="88"/>
        <v>0</v>
      </c>
      <c r="R114" s="16">
        <v>107</v>
      </c>
      <c r="S114" s="35"/>
      <c r="T114" s="32">
        <f t="shared" si="62"/>
        <v>6.3964700000000017</v>
      </c>
      <c r="U114" s="32">
        <f t="shared" si="63"/>
        <v>4.3797618818166538E-2</v>
      </c>
      <c r="V114" s="32">
        <f t="shared" si="64"/>
        <v>6.5278628564545009</v>
      </c>
      <c r="W114" s="32">
        <f t="shared" si="65"/>
        <v>6.2650771435455024</v>
      </c>
      <c r="X114" s="32">
        <f t="shared" si="66"/>
        <v>6.4840652376363348</v>
      </c>
      <c r="Y114" s="32">
        <f t="shared" si="67"/>
        <v>6.3088747623636685</v>
      </c>
      <c r="Z114" s="32">
        <f t="shared" si="68"/>
        <v>6.4402676188181678</v>
      </c>
      <c r="AA114" s="32">
        <f t="shared" si="69"/>
        <v>6.3526723811818355</v>
      </c>
      <c r="AB114" s="33">
        <f t="shared" si="89"/>
        <v>0</v>
      </c>
      <c r="AC114" s="34">
        <f t="shared" si="90"/>
        <v>4.2444444444444479E-2</v>
      </c>
      <c r="AD114" s="33">
        <f t="shared" si="91"/>
        <v>0</v>
      </c>
      <c r="AE114" s="34">
        <f t="shared" si="92"/>
        <v>0.13873391111111122</v>
      </c>
      <c r="AI114" s="16">
        <v>107</v>
      </c>
      <c r="AJ114" s="84"/>
      <c r="AK114" s="32">
        <f t="shared" si="70"/>
        <v>25.808199999999989</v>
      </c>
      <c r="AL114" s="32">
        <f t="shared" si="71"/>
        <v>7.4500084739969288E-2</v>
      </c>
      <c r="AM114" s="32">
        <f t="shared" si="72"/>
        <v>26.031700254219896</v>
      </c>
      <c r="AN114" s="32">
        <f t="shared" si="73"/>
        <v>25.584699745780082</v>
      </c>
      <c r="AO114" s="32">
        <f t="shared" si="74"/>
        <v>25.957200169479929</v>
      </c>
      <c r="AP114" s="32">
        <f t="shared" si="75"/>
        <v>25.659199830520048</v>
      </c>
      <c r="AQ114" s="32">
        <f t="shared" si="76"/>
        <v>25.882700084739959</v>
      </c>
      <c r="AR114" s="32">
        <f t="shared" si="77"/>
        <v>25.733699915260019</v>
      </c>
      <c r="AS114" s="33">
        <f t="shared" si="93"/>
        <v>0</v>
      </c>
      <c r="AT114" s="34">
        <f t="shared" si="94"/>
        <v>6.6666666666666249E-2</v>
      </c>
      <c r="AU114" s="34">
        <f t="shared" si="95"/>
        <v>0</v>
      </c>
      <c r="AV114" s="34">
        <f t="shared" si="96"/>
        <v>0.21790666666666531</v>
      </c>
      <c r="AZ114" s="16">
        <v>107</v>
      </c>
      <c r="BA114" s="35"/>
      <c r="BB114" s="32">
        <f t="shared" si="78"/>
        <v>25.750800000000005</v>
      </c>
      <c r="BC114" s="32">
        <f t="shared" si="79"/>
        <v>5.7272695206019339E-2</v>
      </c>
      <c r="BD114" s="32">
        <f t="shared" si="80"/>
        <v>25.922618085618062</v>
      </c>
      <c r="BE114" s="32">
        <f t="shared" si="81"/>
        <v>25.578981914381949</v>
      </c>
      <c r="BF114" s="32">
        <f t="shared" si="82"/>
        <v>25.865345390412045</v>
      </c>
      <c r="BG114" s="32">
        <f t="shared" si="83"/>
        <v>25.636254609587965</v>
      </c>
      <c r="BH114" s="32">
        <f t="shared" si="84"/>
        <v>25.808072695206025</v>
      </c>
      <c r="BI114" s="32">
        <f t="shared" si="85"/>
        <v>25.693527304793985</v>
      </c>
      <c r="BJ114" s="33">
        <f t="shared" si="53"/>
        <v>0</v>
      </c>
      <c r="BK114" s="34">
        <f t="shared" si="97"/>
        <v>3.6565656565656614E-2</v>
      </c>
      <c r="BL114" s="34">
        <f t="shared" si="98"/>
        <v>0</v>
      </c>
      <c r="BM114" s="34">
        <f t="shared" si="99"/>
        <v>0.11951850505050521</v>
      </c>
      <c r="BQ114" s="22">
        <v>107</v>
      </c>
      <c r="BR114" s="121" t="str">
        <f>IF(ISBLANK(Datos!B109),"",(ABS(Datos!B108-Datos!B109)))</f>
        <v/>
      </c>
      <c r="BS114" s="121" t="str">
        <f>IF(ISBLANK(Datos!C109),"",(ABS(Datos!C108-Datos!C109)))</f>
        <v/>
      </c>
      <c r="BT114" s="121" t="str">
        <f>IF(ISBLANK(Datos!D109),"",(ABS(Datos!D108-Datos!D109)))</f>
        <v/>
      </c>
      <c r="BU114" s="21" t="str">
        <f>IF(ISBLANK(Datos!E109),"",(ABS(Datos!E108-Datos!E109)))</f>
        <v/>
      </c>
    </row>
    <row r="115" spans="1:73" x14ac:dyDescent="0.3">
      <c r="A115" s="16">
        <v>108</v>
      </c>
      <c r="B115" s="35"/>
      <c r="C115" s="32" t="e">
        <f t="shared" si="54"/>
        <v>#DIV/0!</v>
      </c>
      <c r="D115" s="32" t="e">
        <f t="shared" si="55"/>
        <v>#DIV/0!</v>
      </c>
      <c r="E115" s="32" t="e">
        <f t="shared" si="56"/>
        <v>#DIV/0!</v>
      </c>
      <c r="F115" s="32" t="e">
        <f t="shared" si="57"/>
        <v>#DIV/0!</v>
      </c>
      <c r="G115" s="32" t="e">
        <f t="shared" si="58"/>
        <v>#DIV/0!</v>
      </c>
      <c r="H115" s="32" t="e">
        <f t="shared" si="59"/>
        <v>#DIV/0!</v>
      </c>
      <c r="I115" s="32" t="e">
        <f t="shared" si="60"/>
        <v>#DIV/0!</v>
      </c>
      <c r="J115" s="32" t="e">
        <f t="shared" si="61"/>
        <v>#DIV/0!</v>
      </c>
      <c r="K115" s="33">
        <f t="shared" si="100"/>
        <v>0</v>
      </c>
      <c r="L115" s="34">
        <f t="shared" si="86"/>
        <v>0</v>
      </c>
      <c r="M115" s="33">
        <f t="shared" si="87"/>
        <v>0</v>
      </c>
      <c r="N115" s="34">
        <f t="shared" si="88"/>
        <v>0</v>
      </c>
      <c r="R115" s="16">
        <v>108</v>
      </c>
      <c r="S115" s="35"/>
      <c r="T115" s="32">
        <f t="shared" si="62"/>
        <v>6.3964700000000017</v>
      </c>
      <c r="U115" s="32">
        <f t="shared" si="63"/>
        <v>4.3797618818166538E-2</v>
      </c>
      <c r="V115" s="32">
        <f t="shared" si="64"/>
        <v>6.5278628564545009</v>
      </c>
      <c r="W115" s="32">
        <f t="shared" si="65"/>
        <v>6.2650771435455024</v>
      </c>
      <c r="X115" s="32">
        <f t="shared" si="66"/>
        <v>6.4840652376363348</v>
      </c>
      <c r="Y115" s="32">
        <f t="shared" si="67"/>
        <v>6.3088747623636685</v>
      </c>
      <c r="Z115" s="32">
        <f t="shared" si="68"/>
        <v>6.4402676188181678</v>
      </c>
      <c r="AA115" s="32">
        <f t="shared" si="69"/>
        <v>6.3526723811818355</v>
      </c>
      <c r="AB115" s="33">
        <f t="shared" si="89"/>
        <v>0</v>
      </c>
      <c r="AC115" s="34">
        <f t="shared" si="90"/>
        <v>4.2444444444444479E-2</v>
      </c>
      <c r="AD115" s="33">
        <f t="shared" si="91"/>
        <v>0</v>
      </c>
      <c r="AE115" s="34">
        <f t="shared" si="92"/>
        <v>0.13873391111111122</v>
      </c>
      <c r="AI115" s="16">
        <v>108</v>
      </c>
      <c r="AJ115" s="84"/>
      <c r="AK115" s="32">
        <f t="shared" si="70"/>
        <v>25.808199999999989</v>
      </c>
      <c r="AL115" s="32">
        <f t="shared" si="71"/>
        <v>7.4500084739969288E-2</v>
      </c>
      <c r="AM115" s="32">
        <f t="shared" si="72"/>
        <v>26.031700254219896</v>
      </c>
      <c r="AN115" s="32">
        <f t="shared" si="73"/>
        <v>25.584699745780082</v>
      </c>
      <c r="AO115" s="32">
        <f t="shared" si="74"/>
        <v>25.957200169479929</v>
      </c>
      <c r="AP115" s="32">
        <f t="shared" si="75"/>
        <v>25.659199830520048</v>
      </c>
      <c r="AQ115" s="32">
        <f t="shared" si="76"/>
        <v>25.882700084739959</v>
      </c>
      <c r="AR115" s="32">
        <f t="shared" si="77"/>
        <v>25.733699915260019</v>
      </c>
      <c r="AS115" s="33">
        <f t="shared" si="93"/>
        <v>0</v>
      </c>
      <c r="AT115" s="34">
        <f t="shared" si="94"/>
        <v>6.6666666666666249E-2</v>
      </c>
      <c r="AU115" s="34">
        <f t="shared" si="95"/>
        <v>0</v>
      </c>
      <c r="AV115" s="34">
        <f t="shared" si="96"/>
        <v>0.21790666666666531</v>
      </c>
      <c r="AZ115" s="16">
        <v>108</v>
      </c>
      <c r="BA115" s="35"/>
      <c r="BB115" s="32">
        <f t="shared" si="78"/>
        <v>25.750800000000005</v>
      </c>
      <c r="BC115" s="32">
        <f t="shared" si="79"/>
        <v>5.7272695206019339E-2</v>
      </c>
      <c r="BD115" s="32">
        <f t="shared" si="80"/>
        <v>25.922618085618062</v>
      </c>
      <c r="BE115" s="32">
        <f t="shared" si="81"/>
        <v>25.578981914381949</v>
      </c>
      <c r="BF115" s="32">
        <f t="shared" si="82"/>
        <v>25.865345390412045</v>
      </c>
      <c r="BG115" s="32">
        <f t="shared" si="83"/>
        <v>25.636254609587965</v>
      </c>
      <c r="BH115" s="32">
        <f t="shared" si="84"/>
        <v>25.808072695206025</v>
      </c>
      <c r="BI115" s="32">
        <f t="shared" si="85"/>
        <v>25.693527304793985</v>
      </c>
      <c r="BJ115" s="33">
        <f t="shared" si="53"/>
        <v>0</v>
      </c>
      <c r="BK115" s="34">
        <f t="shared" si="97"/>
        <v>3.6565656565656614E-2</v>
      </c>
      <c r="BL115" s="34">
        <f t="shared" si="98"/>
        <v>0</v>
      </c>
      <c r="BM115" s="34">
        <f t="shared" si="99"/>
        <v>0.11951850505050521</v>
      </c>
      <c r="BQ115" s="22">
        <v>108</v>
      </c>
      <c r="BR115" s="121" t="str">
        <f>IF(ISBLANK(Datos!B110),"",(ABS(Datos!B109-Datos!B110)))</f>
        <v/>
      </c>
      <c r="BS115" s="121" t="str">
        <f>IF(ISBLANK(Datos!C110),"",(ABS(Datos!C109-Datos!C110)))</f>
        <v/>
      </c>
      <c r="BT115" s="121" t="str">
        <f>IF(ISBLANK(Datos!D110),"",(ABS(Datos!D109-Datos!D110)))</f>
        <v/>
      </c>
      <c r="BU115" s="21" t="str">
        <f>IF(ISBLANK(Datos!E110),"",(ABS(Datos!E109-Datos!E110)))</f>
        <v/>
      </c>
    </row>
    <row r="116" spans="1:73" x14ac:dyDescent="0.3">
      <c r="A116" s="16">
        <v>109</v>
      </c>
      <c r="B116" s="35"/>
      <c r="C116" s="32" t="e">
        <f t="shared" si="54"/>
        <v>#DIV/0!</v>
      </c>
      <c r="D116" s="32" t="e">
        <f t="shared" si="55"/>
        <v>#DIV/0!</v>
      </c>
      <c r="E116" s="32" t="e">
        <f t="shared" si="56"/>
        <v>#DIV/0!</v>
      </c>
      <c r="F116" s="32" t="e">
        <f t="shared" si="57"/>
        <v>#DIV/0!</v>
      </c>
      <c r="G116" s="32" t="e">
        <f t="shared" si="58"/>
        <v>#DIV/0!</v>
      </c>
      <c r="H116" s="32" t="e">
        <f t="shared" si="59"/>
        <v>#DIV/0!</v>
      </c>
      <c r="I116" s="32" t="e">
        <f t="shared" si="60"/>
        <v>#DIV/0!</v>
      </c>
      <c r="J116" s="32" t="e">
        <f t="shared" si="61"/>
        <v>#DIV/0!</v>
      </c>
      <c r="K116" s="33">
        <f t="shared" si="100"/>
        <v>0</v>
      </c>
      <c r="L116" s="34">
        <f t="shared" si="86"/>
        <v>0</v>
      </c>
      <c r="M116" s="33">
        <f t="shared" si="87"/>
        <v>0</v>
      </c>
      <c r="N116" s="34">
        <f t="shared" si="88"/>
        <v>0</v>
      </c>
      <c r="R116" s="16">
        <v>109</v>
      </c>
      <c r="S116" s="35"/>
      <c r="T116" s="32">
        <f t="shared" si="62"/>
        <v>6.3964700000000017</v>
      </c>
      <c r="U116" s="32">
        <f t="shared" si="63"/>
        <v>4.3797618818166538E-2</v>
      </c>
      <c r="V116" s="32">
        <f t="shared" si="64"/>
        <v>6.5278628564545009</v>
      </c>
      <c r="W116" s="32">
        <f t="shared" si="65"/>
        <v>6.2650771435455024</v>
      </c>
      <c r="X116" s="32">
        <f t="shared" si="66"/>
        <v>6.4840652376363348</v>
      </c>
      <c r="Y116" s="32">
        <f t="shared" si="67"/>
        <v>6.3088747623636685</v>
      </c>
      <c r="Z116" s="32">
        <f t="shared" si="68"/>
        <v>6.4402676188181678</v>
      </c>
      <c r="AA116" s="32">
        <f t="shared" si="69"/>
        <v>6.3526723811818355</v>
      </c>
      <c r="AB116" s="33">
        <f t="shared" si="89"/>
        <v>0</v>
      </c>
      <c r="AC116" s="34">
        <f t="shared" si="90"/>
        <v>4.2444444444444479E-2</v>
      </c>
      <c r="AD116" s="33">
        <f t="shared" si="91"/>
        <v>0</v>
      </c>
      <c r="AE116" s="34">
        <f t="shared" si="92"/>
        <v>0.13873391111111122</v>
      </c>
      <c r="AI116" s="16">
        <v>109</v>
      </c>
      <c r="AJ116" s="84"/>
      <c r="AK116" s="32">
        <f t="shared" si="70"/>
        <v>25.808199999999989</v>
      </c>
      <c r="AL116" s="32">
        <f t="shared" si="71"/>
        <v>7.4500084739969288E-2</v>
      </c>
      <c r="AM116" s="32">
        <f t="shared" si="72"/>
        <v>26.031700254219896</v>
      </c>
      <c r="AN116" s="32">
        <f t="shared" si="73"/>
        <v>25.584699745780082</v>
      </c>
      <c r="AO116" s="32">
        <f t="shared" si="74"/>
        <v>25.957200169479929</v>
      </c>
      <c r="AP116" s="32">
        <f t="shared" si="75"/>
        <v>25.659199830520048</v>
      </c>
      <c r="AQ116" s="32">
        <f t="shared" si="76"/>
        <v>25.882700084739959</v>
      </c>
      <c r="AR116" s="32">
        <f t="shared" si="77"/>
        <v>25.733699915260019</v>
      </c>
      <c r="AS116" s="33">
        <f t="shared" si="93"/>
        <v>0</v>
      </c>
      <c r="AT116" s="34">
        <f t="shared" si="94"/>
        <v>6.6666666666666249E-2</v>
      </c>
      <c r="AU116" s="34">
        <f t="shared" si="95"/>
        <v>0</v>
      </c>
      <c r="AV116" s="34">
        <f t="shared" si="96"/>
        <v>0.21790666666666531</v>
      </c>
      <c r="AZ116" s="16">
        <v>109</v>
      </c>
      <c r="BA116" s="35"/>
      <c r="BB116" s="32">
        <f t="shared" si="78"/>
        <v>25.750800000000005</v>
      </c>
      <c r="BC116" s="32">
        <f t="shared" si="79"/>
        <v>5.7272695206019339E-2</v>
      </c>
      <c r="BD116" s="32">
        <f t="shared" si="80"/>
        <v>25.922618085618062</v>
      </c>
      <c r="BE116" s="32">
        <f t="shared" si="81"/>
        <v>25.578981914381949</v>
      </c>
      <c r="BF116" s="32">
        <f t="shared" si="82"/>
        <v>25.865345390412045</v>
      </c>
      <c r="BG116" s="32">
        <f t="shared" si="83"/>
        <v>25.636254609587965</v>
      </c>
      <c r="BH116" s="32">
        <f t="shared" si="84"/>
        <v>25.808072695206025</v>
      </c>
      <c r="BI116" s="32">
        <f t="shared" si="85"/>
        <v>25.693527304793985</v>
      </c>
      <c r="BJ116" s="33">
        <f t="shared" si="53"/>
        <v>0</v>
      </c>
      <c r="BK116" s="34">
        <f t="shared" si="97"/>
        <v>3.6565656565656614E-2</v>
      </c>
      <c r="BL116" s="34">
        <f t="shared" si="98"/>
        <v>0</v>
      </c>
      <c r="BM116" s="34">
        <f t="shared" si="99"/>
        <v>0.11951850505050521</v>
      </c>
      <c r="BQ116" s="22">
        <v>109</v>
      </c>
      <c r="BR116" s="121" t="str">
        <f>IF(ISBLANK(Datos!B111),"",(ABS(Datos!B110-Datos!B111)))</f>
        <v/>
      </c>
      <c r="BS116" s="121" t="str">
        <f>IF(ISBLANK(Datos!C111),"",(ABS(Datos!C110-Datos!C111)))</f>
        <v/>
      </c>
      <c r="BT116" s="121" t="str">
        <f>IF(ISBLANK(Datos!D111),"",(ABS(Datos!D110-Datos!D111)))</f>
        <v/>
      </c>
      <c r="BU116" s="21" t="str">
        <f>IF(ISBLANK(Datos!E111),"",(ABS(Datos!E110-Datos!E111)))</f>
        <v/>
      </c>
    </row>
    <row r="117" spans="1:73" x14ac:dyDescent="0.3">
      <c r="A117" s="16">
        <v>110</v>
      </c>
      <c r="B117" s="35"/>
      <c r="C117" s="32" t="e">
        <f t="shared" si="54"/>
        <v>#DIV/0!</v>
      </c>
      <c r="D117" s="32" t="e">
        <f t="shared" si="55"/>
        <v>#DIV/0!</v>
      </c>
      <c r="E117" s="32" t="e">
        <f t="shared" si="56"/>
        <v>#DIV/0!</v>
      </c>
      <c r="F117" s="32" t="e">
        <f t="shared" si="57"/>
        <v>#DIV/0!</v>
      </c>
      <c r="G117" s="32" t="e">
        <f t="shared" si="58"/>
        <v>#DIV/0!</v>
      </c>
      <c r="H117" s="32" t="e">
        <f t="shared" si="59"/>
        <v>#DIV/0!</v>
      </c>
      <c r="I117" s="32" t="e">
        <f t="shared" si="60"/>
        <v>#DIV/0!</v>
      </c>
      <c r="J117" s="32" t="e">
        <f t="shared" si="61"/>
        <v>#DIV/0!</v>
      </c>
      <c r="K117" s="33">
        <f t="shared" si="100"/>
        <v>0</v>
      </c>
      <c r="L117" s="34">
        <f t="shared" si="86"/>
        <v>0</v>
      </c>
      <c r="M117" s="33">
        <f t="shared" si="87"/>
        <v>0</v>
      </c>
      <c r="N117" s="34">
        <f t="shared" si="88"/>
        <v>0</v>
      </c>
      <c r="R117" s="16">
        <v>110</v>
      </c>
      <c r="S117" s="35"/>
      <c r="T117" s="32">
        <f t="shared" si="62"/>
        <v>6.3964700000000017</v>
      </c>
      <c r="U117" s="32">
        <f t="shared" si="63"/>
        <v>4.3797618818166538E-2</v>
      </c>
      <c r="V117" s="32">
        <f t="shared" si="64"/>
        <v>6.5278628564545009</v>
      </c>
      <c r="W117" s="32">
        <f t="shared" si="65"/>
        <v>6.2650771435455024</v>
      </c>
      <c r="X117" s="32">
        <f t="shared" si="66"/>
        <v>6.4840652376363348</v>
      </c>
      <c r="Y117" s="32">
        <f t="shared" si="67"/>
        <v>6.3088747623636685</v>
      </c>
      <c r="Z117" s="32">
        <f t="shared" si="68"/>
        <v>6.4402676188181678</v>
      </c>
      <c r="AA117" s="32">
        <f t="shared" si="69"/>
        <v>6.3526723811818355</v>
      </c>
      <c r="AB117" s="33">
        <f t="shared" si="89"/>
        <v>0</v>
      </c>
      <c r="AC117" s="34">
        <f t="shared" si="90"/>
        <v>4.2444444444444479E-2</v>
      </c>
      <c r="AD117" s="33">
        <f t="shared" si="91"/>
        <v>0</v>
      </c>
      <c r="AE117" s="34">
        <f t="shared" si="92"/>
        <v>0.13873391111111122</v>
      </c>
      <c r="AI117" s="16">
        <v>110</v>
      </c>
      <c r="AJ117" s="84"/>
      <c r="AK117" s="32">
        <f t="shared" si="70"/>
        <v>25.808199999999989</v>
      </c>
      <c r="AL117" s="32">
        <f t="shared" si="71"/>
        <v>7.4500084739969288E-2</v>
      </c>
      <c r="AM117" s="32">
        <f t="shared" si="72"/>
        <v>26.031700254219896</v>
      </c>
      <c r="AN117" s="32">
        <f t="shared" si="73"/>
        <v>25.584699745780082</v>
      </c>
      <c r="AO117" s="32">
        <f t="shared" si="74"/>
        <v>25.957200169479929</v>
      </c>
      <c r="AP117" s="32">
        <f t="shared" si="75"/>
        <v>25.659199830520048</v>
      </c>
      <c r="AQ117" s="32">
        <f t="shared" si="76"/>
        <v>25.882700084739959</v>
      </c>
      <c r="AR117" s="32">
        <f t="shared" si="77"/>
        <v>25.733699915260019</v>
      </c>
      <c r="AS117" s="33">
        <f t="shared" si="93"/>
        <v>0</v>
      </c>
      <c r="AT117" s="34">
        <f t="shared" si="94"/>
        <v>6.6666666666666249E-2</v>
      </c>
      <c r="AU117" s="34">
        <f t="shared" si="95"/>
        <v>0</v>
      </c>
      <c r="AV117" s="34">
        <f t="shared" si="96"/>
        <v>0.21790666666666531</v>
      </c>
      <c r="AZ117" s="16">
        <v>110</v>
      </c>
      <c r="BA117" s="35"/>
      <c r="BB117" s="32">
        <f t="shared" si="78"/>
        <v>25.750800000000005</v>
      </c>
      <c r="BC117" s="32">
        <f t="shared" si="79"/>
        <v>5.7272695206019339E-2</v>
      </c>
      <c r="BD117" s="32">
        <f t="shared" si="80"/>
        <v>25.922618085618062</v>
      </c>
      <c r="BE117" s="32">
        <f t="shared" si="81"/>
        <v>25.578981914381949</v>
      </c>
      <c r="BF117" s="32">
        <f t="shared" si="82"/>
        <v>25.865345390412045</v>
      </c>
      <c r="BG117" s="32">
        <f t="shared" si="83"/>
        <v>25.636254609587965</v>
      </c>
      <c r="BH117" s="32">
        <f t="shared" si="84"/>
        <v>25.808072695206025</v>
      </c>
      <c r="BI117" s="32">
        <f t="shared" si="85"/>
        <v>25.693527304793985</v>
      </c>
      <c r="BJ117" s="33">
        <f t="shared" si="53"/>
        <v>0</v>
      </c>
      <c r="BK117" s="34">
        <f t="shared" si="97"/>
        <v>3.6565656565656614E-2</v>
      </c>
      <c r="BL117" s="34">
        <f t="shared" si="98"/>
        <v>0</v>
      </c>
      <c r="BM117" s="34">
        <f t="shared" si="99"/>
        <v>0.11951850505050521</v>
      </c>
      <c r="BQ117" s="22">
        <v>110</v>
      </c>
      <c r="BR117" s="121" t="str">
        <f>IF(ISBLANK(Datos!B112),"",(ABS(Datos!B111-Datos!B112)))</f>
        <v/>
      </c>
      <c r="BS117" s="121" t="str">
        <f>IF(ISBLANK(Datos!C112),"",(ABS(Datos!C111-Datos!C112)))</f>
        <v/>
      </c>
      <c r="BT117" s="121" t="str">
        <f>IF(ISBLANK(Datos!D112),"",(ABS(Datos!D111-Datos!D112)))</f>
        <v/>
      </c>
      <c r="BU117" s="21" t="str">
        <f>IF(ISBLANK(Datos!E112),"",(ABS(Datos!E111-Datos!E112)))</f>
        <v/>
      </c>
    </row>
    <row r="118" spans="1:73" x14ac:dyDescent="0.3">
      <c r="A118" s="16">
        <v>111</v>
      </c>
      <c r="B118" s="35"/>
      <c r="C118" s="32" t="e">
        <f t="shared" si="54"/>
        <v>#DIV/0!</v>
      </c>
      <c r="D118" s="32" t="e">
        <f t="shared" si="55"/>
        <v>#DIV/0!</v>
      </c>
      <c r="E118" s="32" t="e">
        <f t="shared" si="56"/>
        <v>#DIV/0!</v>
      </c>
      <c r="F118" s="32" t="e">
        <f t="shared" si="57"/>
        <v>#DIV/0!</v>
      </c>
      <c r="G118" s="32" t="e">
        <f t="shared" si="58"/>
        <v>#DIV/0!</v>
      </c>
      <c r="H118" s="32" t="e">
        <f t="shared" si="59"/>
        <v>#DIV/0!</v>
      </c>
      <c r="I118" s="32" t="e">
        <f t="shared" si="60"/>
        <v>#DIV/0!</v>
      </c>
      <c r="J118" s="32" t="e">
        <f t="shared" si="61"/>
        <v>#DIV/0!</v>
      </c>
      <c r="K118" s="33">
        <f t="shared" si="100"/>
        <v>0</v>
      </c>
      <c r="L118" s="34">
        <f t="shared" si="86"/>
        <v>0</v>
      </c>
      <c r="M118" s="33">
        <f t="shared" si="87"/>
        <v>0</v>
      </c>
      <c r="N118" s="34">
        <f t="shared" si="88"/>
        <v>0</v>
      </c>
      <c r="R118" s="16">
        <v>111</v>
      </c>
      <c r="S118" s="35"/>
      <c r="T118" s="32">
        <f t="shared" si="62"/>
        <v>6.3964700000000017</v>
      </c>
      <c r="U118" s="32">
        <f t="shared" si="63"/>
        <v>4.3797618818166538E-2</v>
      </c>
      <c r="V118" s="32">
        <f t="shared" si="64"/>
        <v>6.5278628564545009</v>
      </c>
      <c r="W118" s="32">
        <f t="shared" si="65"/>
        <v>6.2650771435455024</v>
      </c>
      <c r="X118" s="32">
        <f t="shared" si="66"/>
        <v>6.4840652376363348</v>
      </c>
      <c r="Y118" s="32">
        <f t="shared" si="67"/>
        <v>6.3088747623636685</v>
      </c>
      <c r="Z118" s="32">
        <f t="shared" si="68"/>
        <v>6.4402676188181678</v>
      </c>
      <c r="AA118" s="32">
        <f t="shared" si="69"/>
        <v>6.3526723811818355</v>
      </c>
      <c r="AB118" s="33">
        <f t="shared" si="89"/>
        <v>0</v>
      </c>
      <c r="AC118" s="34">
        <f t="shared" si="90"/>
        <v>4.2444444444444479E-2</v>
      </c>
      <c r="AD118" s="33">
        <f t="shared" si="91"/>
        <v>0</v>
      </c>
      <c r="AE118" s="34">
        <f t="shared" si="92"/>
        <v>0.13873391111111122</v>
      </c>
      <c r="AI118" s="16">
        <v>111</v>
      </c>
      <c r="AJ118" s="84"/>
      <c r="AK118" s="32">
        <f t="shared" si="70"/>
        <v>25.808199999999989</v>
      </c>
      <c r="AL118" s="32">
        <f t="shared" si="71"/>
        <v>7.4500084739969288E-2</v>
      </c>
      <c r="AM118" s="32">
        <f t="shared" si="72"/>
        <v>26.031700254219896</v>
      </c>
      <c r="AN118" s="32">
        <f t="shared" si="73"/>
        <v>25.584699745780082</v>
      </c>
      <c r="AO118" s="32">
        <f t="shared" si="74"/>
        <v>25.957200169479929</v>
      </c>
      <c r="AP118" s="32">
        <f t="shared" si="75"/>
        <v>25.659199830520048</v>
      </c>
      <c r="AQ118" s="32">
        <f t="shared" si="76"/>
        <v>25.882700084739959</v>
      </c>
      <c r="AR118" s="32">
        <f t="shared" si="77"/>
        <v>25.733699915260019</v>
      </c>
      <c r="AS118" s="33">
        <f t="shared" si="93"/>
        <v>0</v>
      </c>
      <c r="AT118" s="34">
        <f t="shared" si="94"/>
        <v>6.6666666666666249E-2</v>
      </c>
      <c r="AU118" s="34">
        <f t="shared" si="95"/>
        <v>0</v>
      </c>
      <c r="AV118" s="34">
        <f t="shared" si="96"/>
        <v>0.21790666666666531</v>
      </c>
      <c r="AZ118" s="16">
        <v>111</v>
      </c>
      <c r="BA118" s="35"/>
      <c r="BB118" s="32">
        <f t="shared" si="78"/>
        <v>25.750800000000005</v>
      </c>
      <c r="BC118" s="32">
        <f t="shared" si="79"/>
        <v>5.7272695206019339E-2</v>
      </c>
      <c r="BD118" s="32">
        <f t="shared" si="80"/>
        <v>25.922618085618062</v>
      </c>
      <c r="BE118" s="32">
        <f t="shared" si="81"/>
        <v>25.578981914381949</v>
      </c>
      <c r="BF118" s="32">
        <f t="shared" si="82"/>
        <v>25.865345390412045</v>
      </c>
      <c r="BG118" s="32">
        <f t="shared" si="83"/>
        <v>25.636254609587965</v>
      </c>
      <c r="BH118" s="32">
        <f t="shared" si="84"/>
        <v>25.808072695206025</v>
      </c>
      <c r="BI118" s="32">
        <f t="shared" si="85"/>
        <v>25.693527304793985</v>
      </c>
      <c r="BJ118" s="33">
        <f t="shared" si="53"/>
        <v>0</v>
      </c>
      <c r="BK118" s="34">
        <f t="shared" si="97"/>
        <v>3.6565656565656614E-2</v>
      </c>
      <c r="BL118" s="34">
        <f t="shared" si="98"/>
        <v>0</v>
      </c>
      <c r="BM118" s="34">
        <f t="shared" si="99"/>
        <v>0.11951850505050521</v>
      </c>
      <c r="BQ118" s="22">
        <v>111</v>
      </c>
      <c r="BR118" s="121" t="str">
        <f>IF(ISBLANK(Datos!B113),"",(ABS(Datos!B112-Datos!B113)))</f>
        <v/>
      </c>
      <c r="BS118" s="121" t="str">
        <f>IF(ISBLANK(Datos!C113),"",(ABS(Datos!C112-Datos!C113)))</f>
        <v/>
      </c>
      <c r="BT118" s="121" t="str">
        <f>IF(ISBLANK(Datos!D113),"",(ABS(Datos!D112-Datos!D113)))</f>
        <v/>
      </c>
      <c r="BU118" s="21" t="str">
        <f>IF(ISBLANK(Datos!E113),"",(ABS(Datos!E112-Datos!E113)))</f>
        <v/>
      </c>
    </row>
    <row r="119" spans="1:73" x14ac:dyDescent="0.3">
      <c r="A119" s="16">
        <v>112</v>
      </c>
      <c r="B119" s="35"/>
      <c r="C119" s="32" t="e">
        <f t="shared" si="54"/>
        <v>#DIV/0!</v>
      </c>
      <c r="D119" s="32" t="e">
        <f t="shared" si="55"/>
        <v>#DIV/0!</v>
      </c>
      <c r="E119" s="32" t="e">
        <f t="shared" si="56"/>
        <v>#DIV/0!</v>
      </c>
      <c r="F119" s="32" t="e">
        <f t="shared" si="57"/>
        <v>#DIV/0!</v>
      </c>
      <c r="G119" s="32" t="e">
        <f t="shared" si="58"/>
        <v>#DIV/0!</v>
      </c>
      <c r="H119" s="32" t="e">
        <f t="shared" si="59"/>
        <v>#DIV/0!</v>
      </c>
      <c r="I119" s="32" t="e">
        <f t="shared" si="60"/>
        <v>#DIV/0!</v>
      </c>
      <c r="J119" s="32" t="e">
        <f t="shared" si="61"/>
        <v>#DIV/0!</v>
      </c>
      <c r="K119" s="33">
        <f t="shared" si="100"/>
        <v>0</v>
      </c>
      <c r="L119" s="34">
        <f t="shared" si="86"/>
        <v>0</v>
      </c>
      <c r="M119" s="33">
        <f t="shared" si="87"/>
        <v>0</v>
      </c>
      <c r="N119" s="34">
        <f t="shared" si="88"/>
        <v>0</v>
      </c>
      <c r="R119" s="16">
        <v>112</v>
      </c>
      <c r="S119" s="35"/>
      <c r="T119" s="32">
        <f t="shared" si="62"/>
        <v>6.3964700000000017</v>
      </c>
      <c r="U119" s="32">
        <f t="shared" si="63"/>
        <v>4.3797618818166538E-2</v>
      </c>
      <c r="V119" s="32">
        <f t="shared" si="64"/>
        <v>6.5278628564545009</v>
      </c>
      <c r="W119" s="32">
        <f t="shared" si="65"/>
        <v>6.2650771435455024</v>
      </c>
      <c r="X119" s="32">
        <f t="shared" si="66"/>
        <v>6.4840652376363348</v>
      </c>
      <c r="Y119" s="32">
        <f t="shared" si="67"/>
        <v>6.3088747623636685</v>
      </c>
      <c r="Z119" s="32">
        <f t="shared" si="68"/>
        <v>6.4402676188181678</v>
      </c>
      <c r="AA119" s="32">
        <f t="shared" si="69"/>
        <v>6.3526723811818355</v>
      </c>
      <c r="AB119" s="33">
        <f t="shared" si="89"/>
        <v>0</v>
      </c>
      <c r="AC119" s="34">
        <f t="shared" si="90"/>
        <v>4.2444444444444479E-2</v>
      </c>
      <c r="AD119" s="33">
        <f t="shared" si="91"/>
        <v>0</v>
      </c>
      <c r="AE119" s="34">
        <f t="shared" si="92"/>
        <v>0.13873391111111122</v>
      </c>
      <c r="AI119" s="16">
        <v>112</v>
      </c>
      <c r="AJ119" s="84"/>
      <c r="AK119" s="32">
        <f t="shared" si="70"/>
        <v>25.808199999999989</v>
      </c>
      <c r="AL119" s="32">
        <f t="shared" si="71"/>
        <v>7.4500084739969288E-2</v>
      </c>
      <c r="AM119" s="32">
        <f t="shared" si="72"/>
        <v>26.031700254219896</v>
      </c>
      <c r="AN119" s="32">
        <f t="shared" si="73"/>
        <v>25.584699745780082</v>
      </c>
      <c r="AO119" s="32">
        <f t="shared" si="74"/>
        <v>25.957200169479929</v>
      </c>
      <c r="AP119" s="32">
        <f t="shared" si="75"/>
        <v>25.659199830520048</v>
      </c>
      <c r="AQ119" s="32">
        <f t="shared" si="76"/>
        <v>25.882700084739959</v>
      </c>
      <c r="AR119" s="32">
        <f t="shared" si="77"/>
        <v>25.733699915260019</v>
      </c>
      <c r="AS119" s="33">
        <f t="shared" si="93"/>
        <v>0</v>
      </c>
      <c r="AT119" s="34">
        <f t="shared" si="94"/>
        <v>6.6666666666666249E-2</v>
      </c>
      <c r="AU119" s="34">
        <f t="shared" si="95"/>
        <v>0</v>
      </c>
      <c r="AV119" s="34">
        <f t="shared" si="96"/>
        <v>0.21790666666666531</v>
      </c>
      <c r="AZ119" s="16">
        <v>112</v>
      </c>
      <c r="BA119" s="35"/>
      <c r="BB119" s="32">
        <f t="shared" si="78"/>
        <v>25.750800000000005</v>
      </c>
      <c r="BC119" s="32">
        <f t="shared" si="79"/>
        <v>5.7272695206019339E-2</v>
      </c>
      <c r="BD119" s="32">
        <f t="shared" si="80"/>
        <v>25.922618085618062</v>
      </c>
      <c r="BE119" s="32">
        <f t="shared" si="81"/>
        <v>25.578981914381949</v>
      </c>
      <c r="BF119" s="32">
        <f t="shared" si="82"/>
        <v>25.865345390412045</v>
      </c>
      <c r="BG119" s="32">
        <f t="shared" si="83"/>
        <v>25.636254609587965</v>
      </c>
      <c r="BH119" s="32">
        <f t="shared" si="84"/>
        <v>25.808072695206025</v>
      </c>
      <c r="BI119" s="32">
        <f t="shared" si="85"/>
        <v>25.693527304793985</v>
      </c>
      <c r="BJ119" s="33">
        <f t="shared" si="53"/>
        <v>0</v>
      </c>
      <c r="BK119" s="34">
        <f t="shared" si="97"/>
        <v>3.6565656565656614E-2</v>
      </c>
      <c r="BL119" s="34">
        <f t="shared" si="98"/>
        <v>0</v>
      </c>
      <c r="BM119" s="34">
        <f t="shared" si="99"/>
        <v>0.11951850505050521</v>
      </c>
      <c r="BQ119" s="22">
        <v>112</v>
      </c>
      <c r="BR119" s="121" t="str">
        <f>IF(ISBLANK(Datos!B114),"",(ABS(Datos!B113-Datos!B114)))</f>
        <v/>
      </c>
      <c r="BS119" s="121" t="str">
        <f>IF(ISBLANK(Datos!C114),"",(ABS(Datos!C113-Datos!C114)))</f>
        <v/>
      </c>
      <c r="BT119" s="121" t="str">
        <f>IF(ISBLANK(Datos!D114),"",(ABS(Datos!D113-Datos!D114)))</f>
        <v/>
      </c>
      <c r="BU119" s="21" t="str">
        <f>IF(ISBLANK(Datos!E114),"",(ABS(Datos!E113-Datos!E114)))</f>
        <v/>
      </c>
    </row>
    <row r="120" spans="1:73" x14ac:dyDescent="0.3">
      <c r="A120" s="16">
        <v>113</v>
      </c>
      <c r="B120" s="35"/>
      <c r="C120" s="32" t="e">
        <f t="shared" si="54"/>
        <v>#DIV/0!</v>
      </c>
      <c r="D120" s="32" t="e">
        <f t="shared" si="55"/>
        <v>#DIV/0!</v>
      </c>
      <c r="E120" s="32" t="e">
        <f t="shared" si="56"/>
        <v>#DIV/0!</v>
      </c>
      <c r="F120" s="32" t="e">
        <f t="shared" si="57"/>
        <v>#DIV/0!</v>
      </c>
      <c r="G120" s="32" t="e">
        <f t="shared" si="58"/>
        <v>#DIV/0!</v>
      </c>
      <c r="H120" s="32" t="e">
        <f t="shared" si="59"/>
        <v>#DIV/0!</v>
      </c>
      <c r="I120" s="32" t="e">
        <f t="shared" si="60"/>
        <v>#DIV/0!</v>
      </c>
      <c r="J120" s="32" t="e">
        <f t="shared" si="61"/>
        <v>#DIV/0!</v>
      </c>
      <c r="K120" s="33">
        <f t="shared" si="100"/>
        <v>0</v>
      </c>
      <c r="L120" s="34">
        <f t="shared" si="86"/>
        <v>0</v>
      </c>
      <c r="M120" s="33">
        <f t="shared" si="87"/>
        <v>0</v>
      </c>
      <c r="N120" s="34">
        <f t="shared" si="88"/>
        <v>0</v>
      </c>
      <c r="R120" s="16">
        <v>113</v>
      </c>
      <c r="S120" s="35"/>
      <c r="T120" s="32">
        <f t="shared" si="62"/>
        <v>6.3964700000000017</v>
      </c>
      <c r="U120" s="32">
        <f t="shared" si="63"/>
        <v>4.3797618818166538E-2</v>
      </c>
      <c r="V120" s="32">
        <f t="shared" si="64"/>
        <v>6.5278628564545009</v>
      </c>
      <c r="W120" s="32">
        <f t="shared" si="65"/>
        <v>6.2650771435455024</v>
      </c>
      <c r="X120" s="32">
        <f t="shared" si="66"/>
        <v>6.4840652376363348</v>
      </c>
      <c r="Y120" s="32">
        <f t="shared" si="67"/>
        <v>6.3088747623636685</v>
      </c>
      <c r="Z120" s="32">
        <f t="shared" si="68"/>
        <v>6.4402676188181678</v>
      </c>
      <c r="AA120" s="32">
        <f t="shared" si="69"/>
        <v>6.3526723811818355</v>
      </c>
      <c r="AB120" s="33">
        <f t="shared" si="89"/>
        <v>0</v>
      </c>
      <c r="AC120" s="34">
        <f t="shared" si="90"/>
        <v>4.2444444444444479E-2</v>
      </c>
      <c r="AD120" s="33">
        <f t="shared" si="91"/>
        <v>0</v>
      </c>
      <c r="AE120" s="34">
        <f t="shared" si="92"/>
        <v>0.13873391111111122</v>
      </c>
      <c r="AI120" s="16">
        <v>113</v>
      </c>
      <c r="AJ120" s="84"/>
      <c r="AK120" s="32">
        <f t="shared" si="70"/>
        <v>25.808199999999989</v>
      </c>
      <c r="AL120" s="32">
        <f t="shared" si="71"/>
        <v>7.4500084739969288E-2</v>
      </c>
      <c r="AM120" s="32">
        <f t="shared" si="72"/>
        <v>26.031700254219896</v>
      </c>
      <c r="AN120" s="32">
        <f t="shared" si="73"/>
        <v>25.584699745780082</v>
      </c>
      <c r="AO120" s="32">
        <f t="shared" si="74"/>
        <v>25.957200169479929</v>
      </c>
      <c r="AP120" s="32">
        <f t="shared" si="75"/>
        <v>25.659199830520048</v>
      </c>
      <c r="AQ120" s="32">
        <f t="shared" si="76"/>
        <v>25.882700084739959</v>
      </c>
      <c r="AR120" s="32">
        <f t="shared" si="77"/>
        <v>25.733699915260019</v>
      </c>
      <c r="AS120" s="33">
        <f t="shared" si="93"/>
        <v>0</v>
      </c>
      <c r="AT120" s="34">
        <f t="shared" si="94"/>
        <v>6.6666666666666249E-2</v>
      </c>
      <c r="AU120" s="34">
        <f t="shared" si="95"/>
        <v>0</v>
      </c>
      <c r="AV120" s="34">
        <f t="shared" si="96"/>
        <v>0.21790666666666531</v>
      </c>
      <c r="AZ120" s="16">
        <v>113</v>
      </c>
      <c r="BA120" s="35"/>
      <c r="BB120" s="32">
        <f t="shared" si="78"/>
        <v>25.750800000000005</v>
      </c>
      <c r="BC120" s="32">
        <f t="shared" si="79"/>
        <v>5.7272695206019339E-2</v>
      </c>
      <c r="BD120" s="32">
        <f t="shared" si="80"/>
        <v>25.922618085618062</v>
      </c>
      <c r="BE120" s="32">
        <f t="shared" si="81"/>
        <v>25.578981914381949</v>
      </c>
      <c r="BF120" s="32">
        <f t="shared" si="82"/>
        <v>25.865345390412045</v>
      </c>
      <c r="BG120" s="32">
        <f t="shared" si="83"/>
        <v>25.636254609587965</v>
      </c>
      <c r="BH120" s="32">
        <f t="shared" si="84"/>
        <v>25.808072695206025</v>
      </c>
      <c r="BI120" s="32">
        <f t="shared" si="85"/>
        <v>25.693527304793985</v>
      </c>
      <c r="BJ120" s="33">
        <f t="shared" si="53"/>
        <v>0</v>
      </c>
      <c r="BK120" s="34">
        <f t="shared" si="97"/>
        <v>3.6565656565656614E-2</v>
      </c>
      <c r="BL120" s="34">
        <f t="shared" si="98"/>
        <v>0</v>
      </c>
      <c r="BM120" s="34">
        <f t="shared" si="99"/>
        <v>0.11951850505050521</v>
      </c>
      <c r="BQ120" s="22">
        <v>113</v>
      </c>
      <c r="BR120" s="121" t="str">
        <f>IF(ISBLANK(Datos!B115),"",(ABS(Datos!B114-Datos!B115)))</f>
        <v/>
      </c>
      <c r="BS120" s="121" t="str">
        <f>IF(ISBLANK(Datos!C115),"",(ABS(Datos!C114-Datos!C115)))</f>
        <v/>
      </c>
      <c r="BT120" s="121" t="str">
        <f>IF(ISBLANK(Datos!D115),"",(ABS(Datos!D114-Datos!D115)))</f>
        <v/>
      </c>
      <c r="BU120" s="21" t="str">
        <f>IF(ISBLANK(Datos!E115),"",(ABS(Datos!E114-Datos!E115)))</f>
        <v/>
      </c>
    </row>
    <row r="121" spans="1:73" x14ac:dyDescent="0.3">
      <c r="A121" s="16">
        <v>114</v>
      </c>
      <c r="B121" s="35"/>
      <c r="C121" s="32" t="e">
        <f t="shared" si="54"/>
        <v>#DIV/0!</v>
      </c>
      <c r="D121" s="32" t="e">
        <f t="shared" si="55"/>
        <v>#DIV/0!</v>
      </c>
      <c r="E121" s="32" t="e">
        <f t="shared" si="56"/>
        <v>#DIV/0!</v>
      </c>
      <c r="F121" s="32" t="e">
        <f t="shared" si="57"/>
        <v>#DIV/0!</v>
      </c>
      <c r="G121" s="32" t="e">
        <f t="shared" si="58"/>
        <v>#DIV/0!</v>
      </c>
      <c r="H121" s="32" t="e">
        <f t="shared" si="59"/>
        <v>#DIV/0!</v>
      </c>
      <c r="I121" s="32" t="e">
        <f t="shared" si="60"/>
        <v>#DIV/0!</v>
      </c>
      <c r="J121" s="32" t="e">
        <f t="shared" si="61"/>
        <v>#DIV/0!</v>
      </c>
      <c r="K121" s="33">
        <f t="shared" si="100"/>
        <v>0</v>
      </c>
      <c r="L121" s="34">
        <f t="shared" si="86"/>
        <v>0</v>
      </c>
      <c r="M121" s="33">
        <f t="shared" si="87"/>
        <v>0</v>
      </c>
      <c r="N121" s="34">
        <f t="shared" si="88"/>
        <v>0</v>
      </c>
      <c r="R121" s="16">
        <v>114</v>
      </c>
      <c r="S121" s="35"/>
      <c r="T121" s="32">
        <f t="shared" si="62"/>
        <v>6.3964700000000017</v>
      </c>
      <c r="U121" s="32">
        <f t="shared" si="63"/>
        <v>4.3797618818166538E-2</v>
      </c>
      <c r="V121" s="32">
        <f t="shared" si="64"/>
        <v>6.5278628564545009</v>
      </c>
      <c r="W121" s="32">
        <f t="shared" si="65"/>
        <v>6.2650771435455024</v>
      </c>
      <c r="X121" s="32">
        <f t="shared" si="66"/>
        <v>6.4840652376363348</v>
      </c>
      <c r="Y121" s="32">
        <f t="shared" si="67"/>
        <v>6.3088747623636685</v>
      </c>
      <c r="Z121" s="32">
        <f t="shared" si="68"/>
        <v>6.4402676188181678</v>
      </c>
      <c r="AA121" s="32">
        <f t="shared" si="69"/>
        <v>6.3526723811818355</v>
      </c>
      <c r="AB121" s="33">
        <f t="shared" si="89"/>
        <v>0</v>
      </c>
      <c r="AC121" s="34">
        <f t="shared" si="90"/>
        <v>4.2444444444444479E-2</v>
      </c>
      <c r="AD121" s="33">
        <f t="shared" si="91"/>
        <v>0</v>
      </c>
      <c r="AE121" s="34">
        <f t="shared" si="92"/>
        <v>0.13873391111111122</v>
      </c>
      <c r="AI121" s="16">
        <v>114</v>
      </c>
      <c r="AJ121" s="84"/>
      <c r="AK121" s="32">
        <f t="shared" si="70"/>
        <v>25.808199999999989</v>
      </c>
      <c r="AL121" s="32">
        <f t="shared" si="71"/>
        <v>7.4500084739969288E-2</v>
      </c>
      <c r="AM121" s="32">
        <f t="shared" si="72"/>
        <v>26.031700254219896</v>
      </c>
      <c r="AN121" s="32">
        <f t="shared" si="73"/>
        <v>25.584699745780082</v>
      </c>
      <c r="AO121" s="32">
        <f t="shared" si="74"/>
        <v>25.957200169479929</v>
      </c>
      <c r="AP121" s="32">
        <f t="shared" si="75"/>
        <v>25.659199830520048</v>
      </c>
      <c r="AQ121" s="32">
        <f t="shared" si="76"/>
        <v>25.882700084739959</v>
      </c>
      <c r="AR121" s="32">
        <f t="shared" si="77"/>
        <v>25.733699915260019</v>
      </c>
      <c r="AS121" s="33">
        <f t="shared" si="93"/>
        <v>0</v>
      </c>
      <c r="AT121" s="34">
        <f t="shared" si="94"/>
        <v>6.6666666666666249E-2</v>
      </c>
      <c r="AU121" s="34">
        <f t="shared" si="95"/>
        <v>0</v>
      </c>
      <c r="AV121" s="34">
        <f t="shared" si="96"/>
        <v>0.21790666666666531</v>
      </c>
      <c r="AZ121" s="16">
        <v>114</v>
      </c>
      <c r="BA121" s="35"/>
      <c r="BB121" s="32">
        <f t="shared" si="78"/>
        <v>25.750800000000005</v>
      </c>
      <c r="BC121" s="32">
        <f t="shared" si="79"/>
        <v>5.7272695206019339E-2</v>
      </c>
      <c r="BD121" s="32">
        <f t="shared" si="80"/>
        <v>25.922618085618062</v>
      </c>
      <c r="BE121" s="32">
        <f t="shared" si="81"/>
        <v>25.578981914381949</v>
      </c>
      <c r="BF121" s="32">
        <f t="shared" si="82"/>
        <v>25.865345390412045</v>
      </c>
      <c r="BG121" s="32">
        <f t="shared" si="83"/>
        <v>25.636254609587965</v>
      </c>
      <c r="BH121" s="32">
        <f t="shared" si="84"/>
        <v>25.808072695206025</v>
      </c>
      <c r="BI121" s="32">
        <f t="shared" si="85"/>
        <v>25.693527304793985</v>
      </c>
      <c r="BJ121" s="33">
        <f t="shared" si="53"/>
        <v>0</v>
      </c>
      <c r="BK121" s="34">
        <f t="shared" si="97"/>
        <v>3.6565656565656614E-2</v>
      </c>
      <c r="BL121" s="34">
        <f t="shared" si="98"/>
        <v>0</v>
      </c>
      <c r="BM121" s="34">
        <f t="shared" si="99"/>
        <v>0.11951850505050521</v>
      </c>
      <c r="BQ121" s="22">
        <v>114</v>
      </c>
      <c r="BR121" s="121" t="str">
        <f>IF(ISBLANK(Datos!B116),"",(ABS(Datos!B115-Datos!B116)))</f>
        <v/>
      </c>
      <c r="BS121" s="121" t="str">
        <f>IF(ISBLANK(Datos!C116),"",(ABS(Datos!C115-Datos!C116)))</f>
        <v/>
      </c>
      <c r="BT121" s="121" t="str">
        <f>IF(ISBLANK(Datos!D116),"",(ABS(Datos!D115-Datos!D116)))</f>
        <v/>
      </c>
      <c r="BU121" s="21" t="str">
        <f>IF(ISBLANK(Datos!E116),"",(ABS(Datos!E115-Datos!E116)))</f>
        <v/>
      </c>
    </row>
    <row r="122" spans="1:73" x14ac:dyDescent="0.3">
      <c r="A122" s="16">
        <v>115</v>
      </c>
      <c r="B122" s="35"/>
      <c r="C122" s="32" t="e">
        <f t="shared" si="54"/>
        <v>#DIV/0!</v>
      </c>
      <c r="D122" s="32" t="e">
        <f t="shared" si="55"/>
        <v>#DIV/0!</v>
      </c>
      <c r="E122" s="32" t="e">
        <f t="shared" si="56"/>
        <v>#DIV/0!</v>
      </c>
      <c r="F122" s="32" t="e">
        <f t="shared" si="57"/>
        <v>#DIV/0!</v>
      </c>
      <c r="G122" s="32" t="e">
        <f t="shared" si="58"/>
        <v>#DIV/0!</v>
      </c>
      <c r="H122" s="32" t="e">
        <f t="shared" si="59"/>
        <v>#DIV/0!</v>
      </c>
      <c r="I122" s="32" t="e">
        <f t="shared" si="60"/>
        <v>#DIV/0!</v>
      </c>
      <c r="J122" s="32" t="e">
        <f t="shared" si="61"/>
        <v>#DIV/0!</v>
      </c>
      <c r="K122" s="33">
        <f t="shared" si="100"/>
        <v>0</v>
      </c>
      <c r="L122" s="34">
        <f t="shared" si="86"/>
        <v>0</v>
      </c>
      <c r="M122" s="33">
        <f t="shared" si="87"/>
        <v>0</v>
      </c>
      <c r="N122" s="34">
        <f t="shared" si="88"/>
        <v>0</v>
      </c>
      <c r="R122" s="16">
        <v>115</v>
      </c>
      <c r="S122" s="35"/>
      <c r="T122" s="32">
        <f t="shared" si="62"/>
        <v>6.3964700000000017</v>
      </c>
      <c r="U122" s="32">
        <f t="shared" si="63"/>
        <v>4.3797618818166538E-2</v>
      </c>
      <c r="V122" s="32">
        <f t="shared" si="64"/>
        <v>6.5278628564545009</v>
      </c>
      <c r="W122" s="32">
        <f t="shared" si="65"/>
        <v>6.2650771435455024</v>
      </c>
      <c r="X122" s="32">
        <f t="shared" si="66"/>
        <v>6.4840652376363348</v>
      </c>
      <c r="Y122" s="32">
        <f t="shared" si="67"/>
        <v>6.3088747623636685</v>
      </c>
      <c r="Z122" s="32">
        <f t="shared" si="68"/>
        <v>6.4402676188181678</v>
      </c>
      <c r="AA122" s="32">
        <f t="shared" si="69"/>
        <v>6.3526723811818355</v>
      </c>
      <c r="AB122" s="33">
        <f t="shared" si="89"/>
        <v>0</v>
      </c>
      <c r="AC122" s="34">
        <f t="shared" si="90"/>
        <v>4.2444444444444479E-2</v>
      </c>
      <c r="AD122" s="33">
        <f t="shared" si="91"/>
        <v>0</v>
      </c>
      <c r="AE122" s="34">
        <f t="shared" si="92"/>
        <v>0.13873391111111122</v>
      </c>
      <c r="AI122" s="16">
        <v>115</v>
      </c>
      <c r="AJ122" s="84"/>
      <c r="AK122" s="32">
        <f t="shared" si="70"/>
        <v>25.808199999999989</v>
      </c>
      <c r="AL122" s="32">
        <f t="shared" si="71"/>
        <v>7.4500084739969288E-2</v>
      </c>
      <c r="AM122" s="32">
        <f t="shared" si="72"/>
        <v>26.031700254219896</v>
      </c>
      <c r="AN122" s="32">
        <f t="shared" si="73"/>
        <v>25.584699745780082</v>
      </c>
      <c r="AO122" s="32">
        <f t="shared" si="74"/>
        <v>25.957200169479929</v>
      </c>
      <c r="AP122" s="32">
        <f t="shared" si="75"/>
        <v>25.659199830520048</v>
      </c>
      <c r="AQ122" s="32">
        <f t="shared" si="76"/>
        <v>25.882700084739959</v>
      </c>
      <c r="AR122" s="32">
        <f t="shared" si="77"/>
        <v>25.733699915260019</v>
      </c>
      <c r="AS122" s="33">
        <f t="shared" si="93"/>
        <v>0</v>
      </c>
      <c r="AT122" s="34">
        <f t="shared" si="94"/>
        <v>6.6666666666666249E-2</v>
      </c>
      <c r="AU122" s="34">
        <f t="shared" si="95"/>
        <v>0</v>
      </c>
      <c r="AV122" s="34">
        <f t="shared" si="96"/>
        <v>0.21790666666666531</v>
      </c>
      <c r="AZ122" s="16">
        <v>115</v>
      </c>
      <c r="BA122" s="35"/>
      <c r="BB122" s="32">
        <f t="shared" si="78"/>
        <v>25.750800000000005</v>
      </c>
      <c r="BC122" s="32">
        <f t="shared" si="79"/>
        <v>5.7272695206019339E-2</v>
      </c>
      <c r="BD122" s="32">
        <f t="shared" si="80"/>
        <v>25.922618085618062</v>
      </c>
      <c r="BE122" s="32">
        <f t="shared" si="81"/>
        <v>25.578981914381949</v>
      </c>
      <c r="BF122" s="32">
        <f t="shared" si="82"/>
        <v>25.865345390412045</v>
      </c>
      <c r="BG122" s="32">
        <f t="shared" si="83"/>
        <v>25.636254609587965</v>
      </c>
      <c r="BH122" s="32">
        <f t="shared" si="84"/>
        <v>25.808072695206025</v>
      </c>
      <c r="BI122" s="32">
        <f t="shared" si="85"/>
        <v>25.693527304793985</v>
      </c>
      <c r="BJ122" s="33">
        <f t="shared" si="53"/>
        <v>0</v>
      </c>
      <c r="BK122" s="34">
        <f t="shared" si="97"/>
        <v>3.6565656565656614E-2</v>
      </c>
      <c r="BL122" s="34">
        <f t="shared" si="98"/>
        <v>0</v>
      </c>
      <c r="BM122" s="34">
        <f t="shared" si="99"/>
        <v>0.11951850505050521</v>
      </c>
      <c r="BQ122" s="22">
        <v>115</v>
      </c>
      <c r="BR122" s="121" t="str">
        <f>IF(ISBLANK(Datos!B117),"",(ABS(Datos!B116-Datos!B117)))</f>
        <v/>
      </c>
      <c r="BS122" s="121" t="str">
        <f>IF(ISBLANK(Datos!C117),"",(ABS(Datos!C116-Datos!C117)))</f>
        <v/>
      </c>
      <c r="BT122" s="121" t="str">
        <f>IF(ISBLANK(Datos!D117),"",(ABS(Datos!D116-Datos!D117)))</f>
        <v/>
      </c>
      <c r="BU122" s="21" t="str">
        <f>IF(ISBLANK(Datos!E117),"",(ABS(Datos!E116-Datos!E117)))</f>
        <v/>
      </c>
    </row>
    <row r="123" spans="1:73" x14ac:dyDescent="0.3">
      <c r="A123" s="16">
        <v>116</v>
      </c>
      <c r="B123" s="35"/>
      <c r="C123" s="32" t="e">
        <f t="shared" si="54"/>
        <v>#DIV/0!</v>
      </c>
      <c r="D123" s="32" t="e">
        <f t="shared" si="55"/>
        <v>#DIV/0!</v>
      </c>
      <c r="E123" s="32" t="e">
        <f t="shared" si="56"/>
        <v>#DIV/0!</v>
      </c>
      <c r="F123" s="32" t="e">
        <f t="shared" si="57"/>
        <v>#DIV/0!</v>
      </c>
      <c r="G123" s="32" t="e">
        <f t="shared" si="58"/>
        <v>#DIV/0!</v>
      </c>
      <c r="H123" s="32" t="e">
        <f t="shared" si="59"/>
        <v>#DIV/0!</v>
      </c>
      <c r="I123" s="32" t="e">
        <f t="shared" si="60"/>
        <v>#DIV/0!</v>
      </c>
      <c r="J123" s="32" t="e">
        <f t="shared" si="61"/>
        <v>#DIV/0!</v>
      </c>
      <c r="K123" s="33">
        <f t="shared" si="100"/>
        <v>0</v>
      </c>
      <c r="L123" s="34">
        <f t="shared" si="86"/>
        <v>0</v>
      </c>
      <c r="M123" s="33">
        <f t="shared" si="87"/>
        <v>0</v>
      </c>
      <c r="N123" s="34">
        <f t="shared" si="88"/>
        <v>0</v>
      </c>
      <c r="R123" s="16">
        <v>116</v>
      </c>
      <c r="S123" s="35"/>
      <c r="T123" s="32">
        <f t="shared" si="62"/>
        <v>6.3964700000000017</v>
      </c>
      <c r="U123" s="32">
        <f t="shared" si="63"/>
        <v>4.3797618818166538E-2</v>
      </c>
      <c r="V123" s="32">
        <f t="shared" si="64"/>
        <v>6.5278628564545009</v>
      </c>
      <c r="W123" s="32">
        <f t="shared" si="65"/>
        <v>6.2650771435455024</v>
      </c>
      <c r="X123" s="32">
        <f t="shared" si="66"/>
        <v>6.4840652376363348</v>
      </c>
      <c r="Y123" s="32">
        <f t="shared" si="67"/>
        <v>6.3088747623636685</v>
      </c>
      <c r="Z123" s="32">
        <f t="shared" si="68"/>
        <v>6.4402676188181678</v>
      </c>
      <c r="AA123" s="32">
        <f t="shared" si="69"/>
        <v>6.3526723811818355</v>
      </c>
      <c r="AB123" s="33">
        <f t="shared" si="89"/>
        <v>0</v>
      </c>
      <c r="AC123" s="34">
        <f t="shared" si="90"/>
        <v>4.2444444444444479E-2</v>
      </c>
      <c r="AD123" s="33">
        <f t="shared" si="91"/>
        <v>0</v>
      </c>
      <c r="AE123" s="34">
        <f t="shared" si="92"/>
        <v>0.13873391111111122</v>
      </c>
      <c r="AI123" s="16">
        <v>116</v>
      </c>
      <c r="AJ123" s="84"/>
      <c r="AK123" s="32">
        <f t="shared" si="70"/>
        <v>25.808199999999989</v>
      </c>
      <c r="AL123" s="32">
        <f t="shared" si="71"/>
        <v>7.4500084739969288E-2</v>
      </c>
      <c r="AM123" s="32">
        <f t="shared" si="72"/>
        <v>26.031700254219896</v>
      </c>
      <c r="AN123" s="32">
        <f t="shared" si="73"/>
        <v>25.584699745780082</v>
      </c>
      <c r="AO123" s="32">
        <f t="shared" si="74"/>
        <v>25.957200169479929</v>
      </c>
      <c r="AP123" s="32">
        <f t="shared" si="75"/>
        <v>25.659199830520048</v>
      </c>
      <c r="AQ123" s="32">
        <f t="shared" si="76"/>
        <v>25.882700084739959</v>
      </c>
      <c r="AR123" s="32">
        <f t="shared" si="77"/>
        <v>25.733699915260019</v>
      </c>
      <c r="AS123" s="33">
        <f t="shared" si="93"/>
        <v>0</v>
      </c>
      <c r="AT123" s="34">
        <f t="shared" si="94"/>
        <v>6.6666666666666249E-2</v>
      </c>
      <c r="AU123" s="34">
        <f t="shared" si="95"/>
        <v>0</v>
      </c>
      <c r="AV123" s="34">
        <f t="shared" si="96"/>
        <v>0.21790666666666531</v>
      </c>
      <c r="AZ123" s="16">
        <v>116</v>
      </c>
      <c r="BA123" s="35"/>
      <c r="BB123" s="32">
        <f t="shared" si="78"/>
        <v>25.750800000000005</v>
      </c>
      <c r="BC123" s="32">
        <f t="shared" si="79"/>
        <v>5.7272695206019339E-2</v>
      </c>
      <c r="BD123" s="32">
        <f t="shared" si="80"/>
        <v>25.922618085618062</v>
      </c>
      <c r="BE123" s="32">
        <f t="shared" si="81"/>
        <v>25.578981914381949</v>
      </c>
      <c r="BF123" s="32">
        <f t="shared" si="82"/>
        <v>25.865345390412045</v>
      </c>
      <c r="BG123" s="32">
        <f t="shared" si="83"/>
        <v>25.636254609587965</v>
      </c>
      <c r="BH123" s="32">
        <f t="shared" si="84"/>
        <v>25.808072695206025</v>
      </c>
      <c r="BI123" s="32">
        <f t="shared" si="85"/>
        <v>25.693527304793985</v>
      </c>
      <c r="BJ123" s="33">
        <f t="shared" si="53"/>
        <v>0</v>
      </c>
      <c r="BK123" s="34">
        <f t="shared" si="97"/>
        <v>3.6565656565656614E-2</v>
      </c>
      <c r="BL123" s="34">
        <f t="shared" si="98"/>
        <v>0</v>
      </c>
      <c r="BM123" s="34">
        <f t="shared" si="99"/>
        <v>0.11951850505050521</v>
      </c>
      <c r="BQ123" s="22">
        <v>116</v>
      </c>
      <c r="BR123" s="121" t="str">
        <f>IF(ISBLANK(Datos!B118),"",(ABS(Datos!B117-Datos!B118)))</f>
        <v/>
      </c>
      <c r="BS123" s="121" t="str">
        <f>IF(ISBLANK(Datos!C118),"",(ABS(Datos!C117-Datos!C118)))</f>
        <v/>
      </c>
      <c r="BT123" s="121" t="str">
        <f>IF(ISBLANK(Datos!D118),"",(ABS(Datos!D117-Datos!D118)))</f>
        <v/>
      </c>
      <c r="BU123" s="21" t="str">
        <f>IF(ISBLANK(Datos!E118),"",(ABS(Datos!E117-Datos!E118)))</f>
        <v/>
      </c>
    </row>
    <row r="124" spans="1:73" x14ac:dyDescent="0.3">
      <c r="A124" s="16">
        <v>117</v>
      </c>
      <c r="B124" s="35"/>
      <c r="C124" s="32" t="e">
        <f t="shared" si="54"/>
        <v>#DIV/0!</v>
      </c>
      <c r="D124" s="32" t="e">
        <f t="shared" si="55"/>
        <v>#DIV/0!</v>
      </c>
      <c r="E124" s="32" t="e">
        <f t="shared" si="56"/>
        <v>#DIV/0!</v>
      </c>
      <c r="F124" s="32" t="e">
        <f t="shared" si="57"/>
        <v>#DIV/0!</v>
      </c>
      <c r="G124" s="32" t="e">
        <f t="shared" si="58"/>
        <v>#DIV/0!</v>
      </c>
      <c r="H124" s="32" t="e">
        <f t="shared" si="59"/>
        <v>#DIV/0!</v>
      </c>
      <c r="I124" s="32" t="e">
        <f t="shared" si="60"/>
        <v>#DIV/0!</v>
      </c>
      <c r="J124" s="32" t="e">
        <f t="shared" si="61"/>
        <v>#DIV/0!</v>
      </c>
      <c r="K124" s="33">
        <f t="shared" si="100"/>
        <v>0</v>
      </c>
      <c r="L124" s="34">
        <f t="shared" si="86"/>
        <v>0</v>
      </c>
      <c r="M124" s="33">
        <f t="shared" si="87"/>
        <v>0</v>
      </c>
      <c r="N124" s="34">
        <f t="shared" si="88"/>
        <v>0</v>
      </c>
      <c r="R124" s="16">
        <v>117</v>
      </c>
      <c r="S124" s="35"/>
      <c r="T124" s="32">
        <f t="shared" si="62"/>
        <v>6.3964700000000017</v>
      </c>
      <c r="U124" s="32">
        <f t="shared" si="63"/>
        <v>4.3797618818166538E-2</v>
      </c>
      <c r="V124" s="32">
        <f t="shared" si="64"/>
        <v>6.5278628564545009</v>
      </c>
      <c r="W124" s="32">
        <f t="shared" si="65"/>
        <v>6.2650771435455024</v>
      </c>
      <c r="X124" s="32">
        <f t="shared" si="66"/>
        <v>6.4840652376363348</v>
      </c>
      <c r="Y124" s="32">
        <f t="shared" si="67"/>
        <v>6.3088747623636685</v>
      </c>
      <c r="Z124" s="32">
        <f t="shared" si="68"/>
        <v>6.4402676188181678</v>
      </c>
      <c r="AA124" s="32">
        <f t="shared" si="69"/>
        <v>6.3526723811818355</v>
      </c>
      <c r="AB124" s="33">
        <f t="shared" si="89"/>
        <v>0</v>
      </c>
      <c r="AC124" s="34">
        <f t="shared" si="90"/>
        <v>4.2444444444444479E-2</v>
      </c>
      <c r="AD124" s="33">
        <f t="shared" si="91"/>
        <v>0</v>
      </c>
      <c r="AE124" s="34">
        <f t="shared" si="92"/>
        <v>0.13873391111111122</v>
      </c>
      <c r="AI124" s="16">
        <v>117</v>
      </c>
      <c r="AJ124" s="84"/>
      <c r="AK124" s="32">
        <f t="shared" si="70"/>
        <v>25.808199999999989</v>
      </c>
      <c r="AL124" s="32">
        <f t="shared" si="71"/>
        <v>7.4500084739969288E-2</v>
      </c>
      <c r="AM124" s="32">
        <f t="shared" si="72"/>
        <v>26.031700254219896</v>
      </c>
      <c r="AN124" s="32">
        <f t="shared" si="73"/>
        <v>25.584699745780082</v>
      </c>
      <c r="AO124" s="32">
        <f t="shared" si="74"/>
        <v>25.957200169479929</v>
      </c>
      <c r="AP124" s="32">
        <f t="shared" si="75"/>
        <v>25.659199830520048</v>
      </c>
      <c r="AQ124" s="32">
        <f t="shared" si="76"/>
        <v>25.882700084739959</v>
      </c>
      <c r="AR124" s="32">
        <f t="shared" si="77"/>
        <v>25.733699915260019</v>
      </c>
      <c r="AS124" s="33">
        <f t="shared" si="93"/>
        <v>0</v>
      </c>
      <c r="AT124" s="34">
        <f t="shared" si="94"/>
        <v>6.6666666666666249E-2</v>
      </c>
      <c r="AU124" s="34">
        <f t="shared" si="95"/>
        <v>0</v>
      </c>
      <c r="AV124" s="34">
        <f t="shared" si="96"/>
        <v>0.21790666666666531</v>
      </c>
      <c r="AZ124" s="16">
        <v>117</v>
      </c>
      <c r="BA124" s="35"/>
      <c r="BB124" s="32">
        <f t="shared" si="78"/>
        <v>25.750800000000005</v>
      </c>
      <c r="BC124" s="32">
        <f t="shared" si="79"/>
        <v>5.7272695206019339E-2</v>
      </c>
      <c r="BD124" s="32">
        <f t="shared" si="80"/>
        <v>25.922618085618062</v>
      </c>
      <c r="BE124" s="32">
        <f t="shared" si="81"/>
        <v>25.578981914381949</v>
      </c>
      <c r="BF124" s="32">
        <f t="shared" si="82"/>
        <v>25.865345390412045</v>
      </c>
      <c r="BG124" s="32">
        <f t="shared" si="83"/>
        <v>25.636254609587965</v>
      </c>
      <c r="BH124" s="32">
        <f t="shared" si="84"/>
        <v>25.808072695206025</v>
      </c>
      <c r="BI124" s="32">
        <f t="shared" si="85"/>
        <v>25.693527304793985</v>
      </c>
      <c r="BJ124" s="33">
        <f t="shared" si="53"/>
        <v>0</v>
      </c>
      <c r="BK124" s="34">
        <f t="shared" si="97"/>
        <v>3.6565656565656614E-2</v>
      </c>
      <c r="BL124" s="34">
        <f t="shared" si="98"/>
        <v>0</v>
      </c>
      <c r="BM124" s="34">
        <f t="shared" si="99"/>
        <v>0.11951850505050521</v>
      </c>
      <c r="BQ124" s="22">
        <v>117</v>
      </c>
      <c r="BR124" s="121" t="str">
        <f>IF(ISBLANK(Datos!B119),"",(ABS(Datos!B118-Datos!B119)))</f>
        <v/>
      </c>
      <c r="BS124" s="121" t="str">
        <f>IF(ISBLANK(Datos!C119),"",(ABS(Datos!C118-Datos!C119)))</f>
        <v/>
      </c>
      <c r="BT124" s="121" t="str">
        <f>IF(ISBLANK(Datos!D119),"",(ABS(Datos!D118-Datos!D119)))</f>
        <v/>
      </c>
      <c r="BU124" s="21" t="str">
        <f>IF(ISBLANK(Datos!E119),"",(ABS(Datos!E118-Datos!E119)))</f>
        <v/>
      </c>
    </row>
    <row r="125" spans="1:73" x14ac:dyDescent="0.3">
      <c r="A125" s="16">
        <v>118</v>
      </c>
      <c r="B125" s="35"/>
      <c r="C125" s="32" t="e">
        <f t="shared" si="54"/>
        <v>#DIV/0!</v>
      </c>
      <c r="D125" s="32" t="e">
        <f t="shared" si="55"/>
        <v>#DIV/0!</v>
      </c>
      <c r="E125" s="32" t="e">
        <f t="shared" si="56"/>
        <v>#DIV/0!</v>
      </c>
      <c r="F125" s="32" t="e">
        <f t="shared" si="57"/>
        <v>#DIV/0!</v>
      </c>
      <c r="G125" s="32" t="e">
        <f t="shared" si="58"/>
        <v>#DIV/0!</v>
      </c>
      <c r="H125" s="32" t="e">
        <f t="shared" si="59"/>
        <v>#DIV/0!</v>
      </c>
      <c r="I125" s="32" t="e">
        <f t="shared" si="60"/>
        <v>#DIV/0!</v>
      </c>
      <c r="J125" s="32" t="e">
        <f t="shared" si="61"/>
        <v>#DIV/0!</v>
      </c>
      <c r="K125" s="33">
        <f t="shared" si="100"/>
        <v>0</v>
      </c>
      <c r="L125" s="34">
        <f t="shared" si="86"/>
        <v>0</v>
      </c>
      <c r="M125" s="33">
        <f t="shared" si="87"/>
        <v>0</v>
      </c>
      <c r="N125" s="34">
        <f t="shared" si="88"/>
        <v>0</v>
      </c>
      <c r="R125" s="16">
        <v>118</v>
      </c>
      <c r="S125" s="35"/>
      <c r="T125" s="32">
        <f t="shared" si="62"/>
        <v>6.3964700000000017</v>
      </c>
      <c r="U125" s="32">
        <f t="shared" si="63"/>
        <v>4.3797618818166538E-2</v>
      </c>
      <c r="V125" s="32">
        <f t="shared" si="64"/>
        <v>6.5278628564545009</v>
      </c>
      <c r="W125" s="32">
        <f t="shared" si="65"/>
        <v>6.2650771435455024</v>
      </c>
      <c r="X125" s="32">
        <f t="shared" si="66"/>
        <v>6.4840652376363348</v>
      </c>
      <c r="Y125" s="32">
        <f t="shared" si="67"/>
        <v>6.3088747623636685</v>
      </c>
      <c r="Z125" s="32">
        <f t="shared" si="68"/>
        <v>6.4402676188181678</v>
      </c>
      <c r="AA125" s="32">
        <f t="shared" si="69"/>
        <v>6.3526723811818355</v>
      </c>
      <c r="AB125" s="33">
        <f t="shared" si="89"/>
        <v>0</v>
      </c>
      <c r="AC125" s="34">
        <f t="shared" si="90"/>
        <v>4.2444444444444479E-2</v>
      </c>
      <c r="AD125" s="33">
        <f t="shared" si="91"/>
        <v>0</v>
      </c>
      <c r="AE125" s="34">
        <f t="shared" si="92"/>
        <v>0.13873391111111122</v>
      </c>
      <c r="AI125" s="16">
        <v>118</v>
      </c>
      <c r="AJ125" s="84"/>
      <c r="AK125" s="32">
        <f t="shared" si="70"/>
        <v>25.808199999999989</v>
      </c>
      <c r="AL125" s="32">
        <f t="shared" si="71"/>
        <v>7.4500084739969288E-2</v>
      </c>
      <c r="AM125" s="32">
        <f t="shared" si="72"/>
        <v>26.031700254219896</v>
      </c>
      <c r="AN125" s="32">
        <f t="shared" si="73"/>
        <v>25.584699745780082</v>
      </c>
      <c r="AO125" s="32">
        <f t="shared" si="74"/>
        <v>25.957200169479929</v>
      </c>
      <c r="AP125" s="32">
        <f t="shared" si="75"/>
        <v>25.659199830520048</v>
      </c>
      <c r="AQ125" s="32">
        <f t="shared" si="76"/>
        <v>25.882700084739959</v>
      </c>
      <c r="AR125" s="32">
        <f t="shared" si="77"/>
        <v>25.733699915260019</v>
      </c>
      <c r="AS125" s="33">
        <f t="shared" si="93"/>
        <v>0</v>
      </c>
      <c r="AT125" s="34">
        <f t="shared" si="94"/>
        <v>6.6666666666666249E-2</v>
      </c>
      <c r="AU125" s="34">
        <f t="shared" si="95"/>
        <v>0</v>
      </c>
      <c r="AV125" s="34">
        <f t="shared" si="96"/>
        <v>0.21790666666666531</v>
      </c>
      <c r="AZ125" s="16">
        <v>118</v>
      </c>
      <c r="BA125" s="35"/>
      <c r="BB125" s="32">
        <f t="shared" si="78"/>
        <v>25.750800000000005</v>
      </c>
      <c r="BC125" s="32">
        <f t="shared" si="79"/>
        <v>5.7272695206019339E-2</v>
      </c>
      <c r="BD125" s="32">
        <f t="shared" si="80"/>
        <v>25.922618085618062</v>
      </c>
      <c r="BE125" s="32">
        <f t="shared" si="81"/>
        <v>25.578981914381949</v>
      </c>
      <c r="BF125" s="32">
        <f t="shared" si="82"/>
        <v>25.865345390412045</v>
      </c>
      <c r="BG125" s="32">
        <f t="shared" si="83"/>
        <v>25.636254609587965</v>
      </c>
      <c r="BH125" s="32">
        <f t="shared" si="84"/>
        <v>25.808072695206025</v>
      </c>
      <c r="BI125" s="32">
        <f t="shared" si="85"/>
        <v>25.693527304793985</v>
      </c>
      <c r="BJ125" s="33">
        <f t="shared" si="53"/>
        <v>0</v>
      </c>
      <c r="BK125" s="34">
        <f t="shared" si="97"/>
        <v>3.6565656565656614E-2</v>
      </c>
      <c r="BL125" s="34">
        <f t="shared" si="98"/>
        <v>0</v>
      </c>
      <c r="BM125" s="34">
        <f t="shared" si="99"/>
        <v>0.11951850505050521</v>
      </c>
      <c r="BQ125" s="22">
        <v>118</v>
      </c>
      <c r="BR125" s="121" t="str">
        <f>IF(ISBLANK(Datos!B120),"",(ABS(Datos!B119-Datos!B120)))</f>
        <v/>
      </c>
      <c r="BS125" s="121" t="str">
        <f>IF(ISBLANK(Datos!C120),"",(ABS(Datos!C119-Datos!C120)))</f>
        <v/>
      </c>
      <c r="BT125" s="121" t="str">
        <f>IF(ISBLANK(Datos!D120),"",(ABS(Datos!D119-Datos!D120)))</f>
        <v/>
      </c>
      <c r="BU125" s="21" t="str">
        <f>IF(ISBLANK(Datos!E120),"",(ABS(Datos!E119-Datos!E120)))</f>
        <v/>
      </c>
    </row>
    <row r="126" spans="1:73" x14ac:dyDescent="0.3">
      <c r="A126" s="16">
        <v>119</v>
      </c>
      <c r="B126" s="35"/>
      <c r="C126" s="32" t="e">
        <f t="shared" si="54"/>
        <v>#DIV/0!</v>
      </c>
      <c r="D126" s="32" t="e">
        <f t="shared" si="55"/>
        <v>#DIV/0!</v>
      </c>
      <c r="E126" s="32" t="e">
        <f t="shared" si="56"/>
        <v>#DIV/0!</v>
      </c>
      <c r="F126" s="32" t="e">
        <f t="shared" si="57"/>
        <v>#DIV/0!</v>
      </c>
      <c r="G126" s="32" t="e">
        <f t="shared" si="58"/>
        <v>#DIV/0!</v>
      </c>
      <c r="H126" s="32" t="e">
        <f t="shared" si="59"/>
        <v>#DIV/0!</v>
      </c>
      <c r="I126" s="32" t="e">
        <f t="shared" si="60"/>
        <v>#DIV/0!</v>
      </c>
      <c r="J126" s="32" t="e">
        <f t="shared" si="61"/>
        <v>#DIV/0!</v>
      </c>
      <c r="K126" s="33">
        <f t="shared" si="100"/>
        <v>0</v>
      </c>
      <c r="L126" s="34">
        <f t="shared" si="86"/>
        <v>0</v>
      </c>
      <c r="M126" s="33">
        <f t="shared" si="87"/>
        <v>0</v>
      </c>
      <c r="N126" s="34">
        <f t="shared" si="88"/>
        <v>0</v>
      </c>
      <c r="R126" s="16">
        <v>119</v>
      </c>
      <c r="S126" s="35"/>
      <c r="T126" s="32">
        <f t="shared" si="62"/>
        <v>6.3964700000000017</v>
      </c>
      <c r="U126" s="32">
        <f t="shared" si="63"/>
        <v>4.3797618818166538E-2</v>
      </c>
      <c r="V126" s="32">
        <f t="shared" si="64"/>
        <v>6.5278628564545009</v>
      </c>
      <c r="W126" s="32">
        <f t="shared" si="65"/>
        <v>6.2650771435455024</v>
      </c>
      <c r="X126" s="32">
        <f t="shared" si="66"/>
        <v>6.4840652376363348</v>
      </c>
      <c r="Y126" s="32">
        <f t="shared" si="67"/>
        <v>6.3088747623636685</v>
      </c>
      <c r="Z126" s="32">
        <f t="shared" si="68"/>
        <v>6.4402676188181678</v>
      </c>
      <c r="AA126" s="32">
        <f t="shared" si="69"/>
        <v>6.3526723811818355</v>
      </c>
      <c r="AB126" s="33">
        <f t="shared" si="89"/>
        <v>0</v>
      </c>
      <c r="AC126" s="34">
        <f t="shared" si="90"/>
        <v>4.2444444444444479E-2</v>
      </c>
      <c r="AD126" s="33">
        <f t="shared" si="91"/>
        <v>0</v>
      </c>
      <c r="AE126" s="34">
        <f t="shared" si="92"/>
        <v>0.13873391111111122</v>
      </c>
      <c r="AI126" s="16">
        <v>119</v>
      </c>
      <c r="AJ126" s="84"/>
      <c r="AK126" s="32">
        <f t="shared" si="70"/>
        <v>25.808199999999989</v>
      </c>
      <c r="AL126" s="32">
        <f t="shared" si="71"/>
        <v>7.4500084739969288E-2</v>
      </c>
      <c r="AM126" s="32">
        <f t="shared" si="72"/>
        <v>26.031700254219896</v>
      </c>
      <c r="AN126" s="32">
        <f t="shared" si="73"/>
        <v>25.584699745780082</v>
      </c>
      <c r="AO126" s="32">
        <f t="shared" si="74"/>
        <v>25.957200169479929</v>
      </c>
      <c r="AP126" s="32">
        <f t="shared" si="75"/>
        <v>25.659199830520048</v>
      </c>
      <c r="AQ126" s="32">
        <f t="shared" si="76"/>
        <v>25.882700084739959</v>
      </c>
      <c r="AR126" s="32">
        <f t="shared" si="77"/>
        <v>25.733699915260019</v>
      </c>
      <c r="AS126" s="33">
        <f t="shared" si="93"/>
        <v>0</v>
      </c>
      <c r="AT126" s="34">
        <f t="shared" si="94"/>
        <v>6.6666666666666249E-2</v>
      </c>
      <c r="AU126" s="34">
        <f t="shared" si="95"/>
        <v>0</v>
      </c>
      <c r="AV126" s="34">
        <f t="shared" si="96"/>
        <v>0.21790666666666531</v>
      </c>
      <c r="AZ126" s="16">
        <v>119</v>
      </c>
      <c r="BA126" s="35"/>
      <c r="BB126" s="32">
        <f t="shared" si="78"/>
        <v>25.750800000000005</v>
      </c>
      <c r="BC126" s="32">
        <f t="shared" si="79"/>
        <v>5.7272695206019339E-2</v>
      </c>
      <c r="BD126" s="32">
        <f t="shared" si="80"/>
        <v>25.922618085618062</v>
      </c>
      <c r="BE126" s="32">
        <f t="shared" si="81"/>
        <v>25.578981914381949</v>
      </c>
      <c r="BF126" s="32">
        <f t="shared" si="82"/>
        <v>25.865345390412045</v>
      </c>
      <c r="BG126" s="32">
        <f t="shared" si="83"/>
        <v>25.636254609587965</v>
      </c>
      <c r="BH126" s="32">
        <f t="shared" si="84"/>
        <v>25.808072695206025</v>
      </c>
      <c r="BI126" s="32">
        <f t="shared" si="85"/>
        <v>25.693527304793985</v>
      </c>
      <c r="BJ126" s="33">
        <f t="shared" si="53"/>
        <v>0</v>
      </c>
      <c r="BK126" s="34">
        <f t="shared" si="97"/>
        <v>3.6565656565656614E-2</v>
      </c>
      <c r="BL126" s="34">
        <f t="shared" si="98"/>
        <v>0</v>
      </c>
      <c r="BM126" s="34">
        <f t="shared" si="99"/>
        <v>0.11951850505050521</v>
      </c>
      <c r="BQ126" s="22">
        <v>119</v>
      </c>
      <c r="BR126" s="121" t="str">
        <f>IF(ISBLANK(Datos!B121),"",(ABS(Datos!B120-Datos!B121)))</f>
        <v/>
      </c>
      <c r="BS126" s="121" t="str">
        <f>IF(ISBLANK(Datos!C121),"",(ABS(Datos!C120-Datos!C121)))</f>
        <v/>
      </c>
      <c r="BT126" s="121" t="str">
        <f>IF(ISBLANK(Datos!D121),"",(ABS(Datos!D120-Datos!D121)))</f>
        <v/>
      </c>
      <c r="BU126" s="21" t="str">
        <f>IF(ISBLANK(Datos!E121),"",(ABS(Datos!E120-Datos!E121)))</f>
        <v/>
      </c>
    </row>
    <row r="127" spans="1:73" x14ac:dyDescent="0.3">
      <c r="A127" s="16">
        <v>120</v>
      </c>
      <c r="B127" s="35"/>
      <c r="C127" s="32" t="e">
        <f t="shared" si="54"/>
        <v>#DIV/0!</v>
      </c>
      <c r="D127" s="32" t="e">
        <f t="shared" si="55"/>
        <v>#DIV/0!</v>
      </c>
      <c r="E127" s="32" t="e">
        <f t="shared" si="56"/>
        <v>#DIV/0!</v>
      </c>
      <c r="F127" s="32" t="e">
        <f t="shared" si="57"/>
        <v>#DIV/0!</v>
      </c>
      <c r="G127" s="32" t="e">
        <f t="shared" si="58"/>
        <v>#DIV/0!</v>
      </c>
      <c r="H127" s="32" t="e">
        <f t="shared" si="59"/>
        <v>#DIV/0!</v>
      </c>
      <c r="I127" s="32" t="e">
        <f t="shared" si="60"/>
        <v>#DIV/0!</v>
      </c>
      <c r="J127" s="32" t="e">
        <f t="shared" si="61"/>
        <v>#DIV/0!</v>
      </c>
      <c r="K127" s="33">
        <f t="shared" si="100"/>
        <v>0</v>
      </c>
      <c r="L127" s="34">
        <f t="shared" si="86"/>
        <v>0</v>
      </c>
      <c r="M127" s="33">
        <f t="shared" si="87"/>
        <v>0</v>
      </c>
      <c r="N127" s="34">
        <f t="shared" si="88"/>
        <v>0</v>
      </c>
      <c r="R127" s="16">
        <v>120</v>
      </c>
      <c r="S127" s="35"/>
      <c r="T127" s="32">
        <f t="shared" si="62"/>
        <v>6.3964700000000017</v>
      </c>
      <c r="U127" s="32">
        <f t="shared" si="63"/>
        <v>4.3797618818166538E-2</v>
      </c>
      <c r="V127" s="32">
        <f t="shared" si="64"/>
        <v>6.5278628564545009</v>
      </c>
      <c r="W127" s="32">
        <f t="shared" si="65"/>
        <v>6.2650771435455024</v>
      </c>
      <c r="X127" s="32">
        <f t="shared" si="66"/>
        <v>6.4840652376363348</v>
      </c>
      <c r="Y127" s="32">
        <f t="shared" si="67"/>
        <v>6.3088747623636685</v>
      </c>
      <c r="Z127" s="32">
        <f t="shared" si="68"/>
        <v>6.4402676188181678</v>
      </c>
      <c r="AA127" s="32">
        <f t="shared" si="69"/>
        <v>6.3526723811818355</v>
      </c>
      <c r="AB127" s="33">
        <f t="shared" si="89"/>
        <v>0</v>
      </c>
      <c r="AC127" s="34">
        <f t="shared" si="90"/>
        <v>4.2444444444444479E-2</v>
      </c>
      <c r="AD127" s="33">
        <f t="shared" si="91"/>
        <v>0</v>
      </c>
      <c r="AE127" s="34">
        <f t="shared" si="92"/>
        <v>0.13873391111111122</v>
      </c>
      <c r="AI127" s="16">
        <v>120</v>
      </c>
      <c r="AJ127" s="84"/>
      <c r="AK127" s="32">
        <f t="shared" si="70"/>
        <v>25.808199999999989</v>
      </c>
      <c r="AL127" s="32">
        <f t="shared" si="71"/>
        <v>7.4500084739969288E-2</v>
      </c>
      <c r="AM127" s="32">
        <f t="shared" si="72"/>
        <v>26.031700254219896</v>
      </c>
      <c r="AN127" s="32">
        <f t="shared" si="73"/>
        <v>25.584699745780082</v>
      </c>
      <c r="AO127" s="32">
        <f t="shared" si="74"/>
        <v>25.957200169479929</v>
      </c>
      <c r="AP127" s="32">
        <f t="shared" si="75"/>
        <v>25.659199830520048</v>
      </c>
      <c r="AQ127" s="32">
        <f t="shared" si="76"/>
        <v>25.882700084739959</v>
      </c>
      <c r="AR127" s="32">
        <f t="shared" si="77"/>
        <v>25.733699915260019</v>
      </c>
      <c r="AS127" s="33">
        <f t="shared" si="93"/>
        <v>0</v>
      </c>
      <c r="AT127" s="34">
        <f t="shared" si="94"/>
        <v>6.6666666666666249E-2</v>
      </c>
      <c r="AU127" s="34">
        <f t="shared" si="95"/>
        <v>0</v>
      </c>
      <c r="AV127" s="34">
        <f t="shared" si="96"/>
        <v>0.21790666666666531</v>
      </c>
      <c r="AZ127" s="16">
        <v>120</v>
      </c>
      <c r="BA127" s="35"/>
      <c r="BB127" s="32">
        <f t="shared" si="78"/>
        <v>25.750800000000005</v>
      </c>
      <c r="BC127" s="32">
        <f t="shared" si="79"/>
        <v>5.7272695206019339E-2</v>
      </c>
      <c r="BD127" s="32">
        <f t="shared" si="80"/>
        <v>25.922618085618062</v>
      </c>
      <c r="BE127" s="32">
        <f t="shared" si="81"/>
        <v>25.578981914381949</v>
      </c>
      <c r="BF127" s="32">
        <f t="shared" si="82"/>
        <v>25.865345390412045</v>
      </c>
      <c r="BG127" s="32">
        <f t="shared" si="83"/>
        <v>25.636254609587965</v>
      </c>
      <c r="BH127" s="32">
        <f t="shared" si="84"/>
        <v>25.808072695206025</v>
      </c>
      <c r="BI127" s="32">
        <f t="shared" si="85"/>
        <v>25.693527304793985</v>
      </c>
      <c r="BJ127" s="33">
        <f t="shared" si="53"/>
        <v>0</v>
      </c>
      <c r="BK127" s="34">
        <f t="shared" si="97"/>
        <v>3.6565656565656614E-2</v>
      </c>
      <c r="BL127" s="34">
        <f t="shared" si="98"/>
        <v>0</v>
      </c>
      <c r="BM127" s="34">
        <f t="shared" si="99"/>
        <v>0.11951850505050521</v>
      </c>
      <c r="BQ127" s="22">
        <v>120</v>
      </c>
      <c r="BR127" s="121" t="str">
        <f>IF(ISBLANK(Datos!B122),"",(ABS(Datos!B121-Datos!B122)))</f>
        <v/>
      </c>
      <c r="BS127" s="121" t="str">
        <f>IF(ISBLANK(Datos!C122),"",(ABS(Datos!C121-Datos!C122)))</f>
        <v/>
      </c>
      <c r="BT127" s="121" t="str">
        <f>IF(ISBLANK(Datos!D122),"",(ABS(Datos!D121-Datos!D122)))</f>
        <v/>
      </c>
      <c r="BU127" s="21" t="str">
        <f>IF(ISBLANK(Datos!E122),"",(ABS(Datos!E121-Datos!E122)))</f>
        <v/>
      </c>
    </row>
    <row r="128" spans="1:73" x14ac:dyDescent="0.3">
      <c r="A128" s="16">
        <v>121</v>
      </c>
      <c r="B128" s="35"/>
      <c r="C128" s="32" t="e">
        <f t="shared" si="54"/>
        <v>#DIV/0!</v>
      </c>
      <c r="D128" s="32" t="e">
        <f t="shared" si="55"/>
        <v>#DIV/0!</v>
      </c>
      <c r="E128" s="32" t="e">
        <f t="shared" si="56"/>
        <v>#DIV/0!</v>
      </c>
      <c r="F128" s="32" t="e">
        <f t="shared" si="57"/>
        <v>#DIV/0!</v>
      </c>
      <c r="G128" s="32" t="e">
        <f t="shared" si="58"/>
        <v>#DIV/0!</v>
      </c>
      <c r="H128" s="32" t="e">
        <f t="shared" si="59"/>
        <v>#DIV/0!</v>
      </c>
      <c r="I128" s="32" t="e">
        <f t="shared" si="60"/>
        <v>#DIV/0!</v>
      </c>
      <c r="J128" s="32" t="e">
        <f t="shared" si="61"/>
        <v>#DIV/0!</v>
      </c>
      <c r="K128" s="33">
        <f t="shared" si="100"/>
        <v>0</v>
      </c>
      <c r="L128" s="34">
        <f t="shared" si="86"/>
        <v>0</v>
      </c>
      <c r="M128" s="33">
        <f t="shared" si="87"/>
        <v>0</v>
      </c>
      <c r="N128" s="34">
        <f t="shared" si="88"/>
        <v>0</v>
      </c>
      <c r="R128" s="16">
        <v>121</v>
      </c>
      <c r="S128" s="35"/>
      <c r="T128" s="32">
        <f t="shared" si="62"/>
        <v>6.3964700000000017</v>
      </c>
      <c r="U128" s="32">
        <f t="shared" si="63"/>
        <v>4.3797618818166538E-2</v>
      </c>
      <c r="V128" s="32">
        <f t="shared" si="64"/>
        <v>6.5278628564545009</v>
      </c>
      <c r="W128" s="32">
        <f t="shared" si="65"/>
        <v>6.2650771435455024</v>
      </c>
      <c r="X128" s="32">
        <f t="shared" si="66"/>
        <v>6.4840652376363348</v>
      </c>
      <c r="Y128" s="32">
        <f t="shared" si="67"/>
        <v>6.3088747623636685</v>
      </c>
      <c r="Z128" s="32">
        <f t="shared" si="68"/>
        <v>6.4402676188181678</v>
      </c>
      <c r="AA128" s="32">
        <f t="shared" si="69"/>
        <v>6.3526723811818355</v>
      </c>
      <c r="AB128" s="33">
        <f t="shared" si="89"/>
        <v>0</v>
      </c>
      <c r="AC128" s="34">
        <f t="shared" si="90"/>
        <v>4.2444444444444479E-2</v>
      </c>
      <c r="AD128" s="33">
        <f t="shared" si="91"/>
        <v>0</v>
      </c>
      <c r="AE128" s="34">
        <f t="shared" si="92"/>
        <v>0.13873391111111122</v>
      </c>
      <c r="AI128" s="16">
        <v>121</v>
      </c>
      <c r="AJ128" s="84"/>
      <c r="AK128" s="32">
        <f t="shared" si="70"/>
        <v>25.808199999999989</v>
      </c>
      <c r="AL128" s="32">
        <f t="shared" si="71"/>
        <v>7.4500084739969288E-2</v>
      </c>
      <c r="AM128" s="32">
        <f t="shared" si="72"/>
        <v>26.031700254219896</v>
      </c>
      <c r="AN128" s="32">
        <f t="shared" si="73"/>
        <v>25.584699745780082</v>
      </c>
      <c r="AO128" s="32">
        <f t="shared" si="74"/>
        <v>25.957200169479929</v>
      </c>
      <c r="AP128" s="32">
        <f t="shared" si="75"/>
        <v>25.659199830520048</v>
      </c>
      <c r="AQ128" s="32">
        <f t="shared" si="76"/>
        <v>25.882700084739959</v>
      </c>
      <c r="AR128" s="32">
        <f t="shared" si="77"/>
        <v>25.733699915260019</v>
      </c>
      <c r="AS128" s="33">
        <f t="shared" si="93"/>
        <v>0</v>
      </c>
      <c r="AT128" s="34">
        <f t="shared" si="94"/>
        <v>6.6666666666666249E-2</v>
      </c>
      <c r="AU128" s="34">
        <f t="shared" si="95"/>
        <v>0</v>
      </c>
      <c r="AV128" s="34">
        <f t="shared" si="96"/>
        <v>0.21790666666666531</v>
      </c>
      <c r="AZ128" s="16">
        <v>121</v>
      </c>
      <c r="BA128" s="35"/>
      <c r="BB128" s="32">
        <f t="shared" si="78"/>
        <v>25.750800000000005</v>
      </c>
      <c r="BC128" s="32">
        <f t="shared" si="79"/>
        <v>5.7272695206019339E-2</v>
      </c>
      <c r="BD128" s="32">
        <f t="shared" si="80"/>
        <v>25.922618085618062</v>
      </c>
      <c r="BE128" s="32">
        <f t="shared" si="81"/>
        <v>25.578981914381949</v>
      </c>
      <c r="BF128" s="32">
        <f t="shared" si="82"/>
        <v>25.865345390412045</v>
      </c>
      <c r="BG128" s="32">
        <f t="shared" si="83"/>
        <v>25.636254609587965</v>
      </c>
      <c r="BH128" s="32">
        <f t="shared" si="84"/>
        <v>25.808072695206025</v>
      </c>
      <c r="BI128" s="32">
        <f t="shared" si="85"/>
        <v>25.693527304793985</v>
      </c>
      <c r="BJ128" s="33">
        <f t="shared" si="53"/>
        <v>0</v>
      </c>
      <c r="BK128" s="34">
        <f t="shared" si="97"/>
        <v>3.6565656565656614E-2</v>
      </c>
      <c r="BL128" s="34">
        <f t="shared" si="98"/>
        <v>0</v>
      </c>
      <c r="BM128" s="34">
        <f t="shared" si="99"/>
        <v>0.11951850505050521</v>
      </c>
      <c r="BQ128" s="22">
        <v>121</v>
      </c>
      <c r="BR128" s="121" t="str">
        <f>IF(ISBLANK(Datos!B123),"",(ABS(Datos!B122-Datos!B123)))</f>
        <v/>
      </c>
      <c r="BS128" s="121" t="str">
        <f>IF(ISBLANK(Datos!C123),"",(ABS(Datos!C122-Datos!C123)))</f>
        <v/>
      </c>
      <c r="BT128" s="121" t="str">
        <f>IF(ISBLANK(Datos!D123),"",(ABS(Datos!D122-Datos!D123)))</f>
        <v/>
      </c>
      <c r="BU128" s="21" t="str">
        <f>IF(ISBLANK(Datos!E123),"",(ABS(Datos!E122-Datos!E123)))</f>
        <v/>
      </c>
    </row>
    <row r="129" spans="1:73" x14ac:dyDescent="0.3">
      <c r="A129" s="16">
        <v>122</v>
      </c>
      <c r="B129" s="35"/>
      <c r="C129" s="32" t="e">
        <f t="shared" si="54"/>
        <v>#DIV/0!</v>
      </c>
      <c r="D129" s="32" t="e">
        <f t="shared" si="55"/>
        <v>#DIV/0!</v>
      </c>
      <c r="E129" s="32" t="e">
        <f t="shared" si="56"/>
        <v>#DIV/0!</v>
      </c>
      <c r="F129" s="32" t="e">
        <f t="shared" si="57"/>
        <v>#DIV/0!</v>
      </c>
      <c r="G129" s="32" t="e">
        <f t="shared" si="58"/>
        <v>#DIV/0!</v>
      </c>
      <c r="H129" s="32" t="e">
        <f t="shared" si="59"/>
        <v>#DIV/0!</v>
      </c>
      <c r="I129" s="32" t="e">
        <f t="shared" si="60"/>
        <v>#DIV/0!</v>
      </c>
      <c r="J129" s="32" t="e">
        <f t="shared" si="61"/>
        <v>#DIV/0!</v>
      </c>
      <c r="K129" s="33">
        <f t="shared" si="100"/>
        <v>0</v>
      </c>
      <c r="L129" s="34">
        <f t="shared" si="86"/>
        <v>0</v>
      </c>
      <c r="M129" s="33">
        <f t="shared" si="87"/>
        <v>0</v>
      </c>
      <c r="N129" s="34">
        <f t="shared" si="88"/>
        <v>0</v>
      </c>
      <c r="R129" s="16">
        <v>122</v>
      </c>
      <c r="S129" s="35"/>
      <c r="T129" s="32">
        <f t="shared" si="62"/>
        <v>6.3964700000000017</v>
      </c>
      <c r="U129" s="32">
        <f t="shared" si="63"/>
        <v>4.3797618818166538E-2</v>
      </c>
      <c r="V129" s="32">
        <f t="shared" si="64"/>
        <v>6.5278628564545009</v>
      </c>
      <c r="W129" s="32">
        <f t="shared" si="65"/>
        <v>6.2650771435455024</v>
      </c>
      <c r="X129" s="32">
        <f t="shared" si="66"/>
        <v>6.4840652376363348</v>
      </c>
      <c r="Y129" s="32">
        <f t="shared" si="67"/>
        <v>6.3088747623636685</v>
      </c>
      <c r="Z129" s="32">
        <f t="shared" si="68"/>
        <v>6.4402676188181678</v>
      </c>
      <c r="AA129" s="32">
        <f t="shared" si="69"/>
        <v>6.3526723811818355</v>
      </c>
      <c r="AB129" s="33">
        <f t="shared" si="89"/>
        <v>0</v>
      </c>
      <c r="AC129" s="34">
        <f t="shared" si="90"/>
        <v>4.2444444444444479E-2</v>
      </c>
      <c r="AD129" s="33">
        <f t="shared" si="91"/>
        <v>0</v>
      </c>
      <c r="AE129" s="34">
        <f t="shared" si="92"/>
        <v>0.13873391111111122</v>
      </c>
      <c r="AI129" s="16">
        <v>122</v>
      </c>
      <c r="AJ129" s="84"/>
      <c r="AK129" s="32">
        <f t="shared" si="70"/>
        <v>25.808199999999989</v>
      </c>
      <c r="AL129" s="32">
        <f t="shared" si="71"/>
        <v>7.4500084739969288E-2</v>
      </c>
      <c r="AM129" s="32">
        <f t="shared" si="72"/>
        <v>26.031700254219896</v>
      </c>
      <c r="AN129" s="32">
        <f t="shared" si="73"/>
        <v>25.584699745780082</v>
      </c>
      <c r="AO129" s="32">
        <f t="shared" si="74"/>
        <v>25.957200169479929</v>
      </c>
      <c r="AP129" s="32">
        <f t="shared" si="75"/>
        <v>25.659199830520048</v>
      </c>
      <c r="AQ129" s="32">
        <f t="shared" si="76"/>
        <v>25.882700084739959</v>
      </c>
      <c r="AR129" s="32">
        <f t="shared" si="77"/>
        <v>25.733699915260019</v>
      </c>
      <c r="AS129" s="33">
        <f t="shared" si="93"/>
        <v>0</v>
      </c>
      <c r="AT129" s="34">
        <f t="shared" si="94"/>
        <v>6.6666666666666249E-2</v>
      </c>
      <c r="AU129" s="34">
        <f t="shared" si="95"/>
        <v>0</v>
      </c>
      <c r="AV129" s="34">
        <f t="shared" si="96"/>
        <v>0.21790666666666531</v>
      </c>
      <c r="AZ129" s="16">
        <v>122</v>
      </c>
      <c r="BA129" s="35"/>
      <c r="BB129" s="32">
        <f t="shared" si="78"/>
        <v>25.750800000000005</v>
      </c>
      <c r="BC129" s="32">
        <f t="shared" si="79"/>
        <v>5.7272695206019339E-2</v>
      </c>
      <c r="BD129" s="32">
        <f t="shared" si="80"/>
        <v>25.922618085618062</v>
      </c>
      <c r="BE129" s="32">
        <f t="shared" si="81"/>
        <v>25.578981914381949</v>
      </c>
      <c r="BF129" s="32">
        <f t="shared" si="82"/>
        <v>25.865345390412045</v>
      </c>
      <c r="BG129" s="32">
        <f t="shared" si="83"/>
        <v>25.636254609587965</v>
      </c>
      <c r="BH129" s="32">
        <f t="shared" si="84"/>
        <v>25.808072695206025</v>
      </c>
      <c r="BI129" s="32">
        <f t="shared" si="85"/>
        <v>25.693527304793985</v>
      </c>
      <c r="BJ129" s="33">
        <f t="shared" si="53"/>
        <v>0</v>
      </c>
      <c r="BK129" s="34">
        <f t="shared" si="97"/>
        <v>3.6565656565656614E-2</v>
      </c>
      <c r="BL129" s="34">
        <f t="shared" si="98"/>
        <v>0</v>
      </c>
      <c r="BM129" s="34">
        <f t="shared" si="99"/>
        <v>0.11951850505050521</v>
      </c>
      <c r="BQ129" s="22">
        <v>122</v>
      </c>
      <c r="BR129" s="121" t="str">
        <f>IF(ISBLANK(Datos!B124),"",(ABS(Datos!B123-Datos!B124)))</f>
        <v/>
      </c>
      <c r="BS129" s="121" t="str">
        <f>IF(ISBLANK(Datos!C124),"",(ABS(Datos!C123-Datos!C124)))</f>
        <v/>
      </c>
      <c r="BT129" s="121" t="str">
        <f>IF(ISBLANK(Datos!D124),"",(ABS(Datos!D123-Datos!D124)))</f>
        <v/>
      </c>
      <c r="BU129" s="21" t="str">
        <f>IF(ISBLANK(Datos!E124),"",(ABS(Datos!E123-Datos!E124)))</f>
        <v/>
      </c>
    </row>
    <row r="130" spans="1:73" x14ac:dyDescent="0.3">
      <c r="A130" s="16">
        <v>123</v>
      </c>
      <c r="B130" s="35"/>
      <c r="C130" s="32" t="e">
        <f t="shared" si="54"/>
        <v>#DIV/0!</v>
      </c>
      <c r="D130" s="32" t="e">
        <f t="shared" si="55"/>
        <v>#DIV/0!</v>
      </c>
      <c r="E130" s="32" t="e">
        <f t="shared" si="56"/>
        <v>#DIV/0!</v>
      </c>
      <c r="F130" s="32" t="e">
        <f t="shared" si="57"/>
        <v>#DIV/0!</v>
      </c>
      <c r="G130" s="32" t="e">
        <f t="shared" si="58"/>
        <v>#DIV/0!</v>
      </c>
      <c r="H130" s="32" t="e">
        <f t="shared" si="59"/>
        <v>#DIV/0!</v>
      </c>
      <c r="I130" s="32" t="e">
        <f t="shared" si="60"/>
        <v>#DIV/0!</v>
      </c>
      <c r="J130" s="32" t="e">
        <f t="shared" si="61"/>
        <v>#DIV/0!</v>
      </c>
      <c r="K130" s="33">
        <f t="shared" si="100"/>
        <v>0</v>
      </c>
      <c r="L130" s="34">
        <f t="shared" si="86"/>
        <v>0</v>
      </c>
      <c r="M130" s="33">
        <f t="shared" si="87"/>
        <v>0</v>
      </c>
      <c r="N130" s="34">
        <f t="shared" si="88"/>
        <v>0</v>
      </c>
      <c r="R130" s="16">
        <v>123</v>
      </c>
      <c r="S130" s="35"/>
      <c r="T130" s="32">
        <f t="shared" si="62"/>
        <v>6.3964700000000017</v>
      </c>
      <c r="U130" s="32">
        <f t="shared" si="63"/>
        <v>4.3797618818166538E-2</v>
      </c>
      <c r="V130" s="32">
        <f t="shared" si="64"/>
        <v>6.5278628564545009</v>
      </c>
      <c r="W130" s="32">
        <f t="shared" si="65"/>
        <v>6.2650771435455024</v>
      </c>
      <c r="X130" s="32">
        <f t="shared" si="66"/>
        <v>6.4840652376363348</v>
      </c>
      <c r="Y130" s="32">
        <f t="shared" si="67"/>
        <v>6.3088747623636685</v>
      </c>
      <c r="Z130" s="32">
        <f t="shared" si="68"/>
        <v>6.4402676188181678</v>
      </c>
      <c r="AA130" s="32">
        <f t="shared" si="69"/>
        <v>6.3526723811818355</v>
      </c>
      <c r="AB130" s="33">
        <f t="shared" si="89"/>
        <v>0</v>
      </c>
      <c r="AC130" s="34">
        <f t="shared" si="90"/>
        <v>4.2444444444444479E-2</v>
      </c>
      <c r="AD130" s="33">
        <f t="shared" si="91"/>
        <v>0</v>
      </c>
      <c r="AE130" s="34">
        <f t="shared" si="92"/>
        <v>0.13873391111111122</v>
      </c>
      <c r="AI130" s="16">
        <v>123</v>
      </c>
      <c r="AJ130" s="84"/>
      <c r="AK130" s="32">
        <f t="shared" si="70"/>
        <v>25.808199999999989</v>
      </c>
      <c r="AL130" s="32">
        <f t="shared" si="71"/>
        <v>7.4500084739969288E-2</v>
      </c>
      <c r="AM130" s="32">
        <f t="shared" si="72"/>
        <v>26.031700254219896</v>
      </c>
      <c r="AN130" s="32">
        <f t="shared" si="73"/>
        <v>25.584699745780082</v>
      </c>
      <c r="AO130" s="32">
        <f t="shared" si="74"/>
        <v>25.957200169479929</v>
      </c>
      <c r="AP130" s="32">
        <f t="shared" si="75"/>
        <v>25.659199830520048</v>
      </c>
      <c r="AQ130" s="32">
        <f t="shared" si="76"/>
        <v>25.882700084739959</v>
      </c>
      <c r="AR130" s="32">
        <f t="shared" si="77"/>
        <v>25.733699915260019</v>
      </c>
      <c r="AS130" s="33">
        <f t="shared" si="93"/>
        <v>0</v>
      </c>
      <c r="AT130" s="34">
        <f t="shared" si="94"/>
        <v>6.6666666666666249E-2</v>
      </c>
      <c r="AU130" s="34">
        <f t="shared" si="95"/>
        <v>0</v>
      </c>
      <c r="AV130" s="34">
        <f t="shared" si="96"/>
        <v>0.21790666666666531</v>
      </c>
      <c r="AZ130" s="16">
        <v>123</v>
      </c>
      <c r="BA130" s="35"/>
      <c r="BB130" s="32">
        <f t="shared" si="78"/>
        <v>25.750800000000005</v>
      </c>
      <c r="BC130" s="32">
        <f t="shared" si="79"/>
        <v>5.7272695206019339E-2</v>
      </c>
      <c r="BD130" s="32">
        <f t="shared" si="80"/>
        <v>25.922618085618062</v>
      </c>
      <c r="BE130" s="32">
        <f t="shared" si="81"/>
        <v>25.578981914381949</v>
      </c>
      <c r="BF130" s="32">
        <f t="shared" si="82"/>
        <v>25.865345390412045</v>
      </c>
      <c r="BG130" s="32">
        <f t="shared" si="83"/>
        <v>25.636254609587965</v>
      </c>
      <c r="BH130" s="32">
        <f t="shared" si="84"/>
        <v>25.808072695206025</v>
      </c>
      <c r="BI130" s="32">
        <f t="shared" si="85"/>
        <v>25.693527304793985</v>
      </c>
      <c r="BJ130" s="33">
        <f t="shared" si="53"/>
        <v>0</v>
      </c>
      <c r="BK130" s="34">
        <f t="shared" si="97"/>
        <v>3.6565656565656614E-2</v>
      </c>
      <c r="BL130" s="34">
        <f t="shared" si="98"/>
        <v>0</v>
      </c>
      <c r="BM130" s="34">
        <f t="shared" si="99"/>
        <v>0.11951850505050521</v>
      </c>
      <c r="BQ130" s="22">
        <v>123</v>
      </c>
      <c r="BR130" s="121" t="str">
        <f>IF(ISBLANK(Datos!B125),"",(ABS(Datos!B124-Datos!B125)))</f>
        <v/>
      </c>
      <c r="BS130" s="121" t="str">
        <f>IF(ISBLANK(Datos!C125),"",(ABS(Datos!C124-Datos!C125)))</f>
        <v/>
      </c>
      <c r="BT130" s="121" t="str">
        <f>IF(ISBLANK(Datos!D125),"",(ABS(Datos!D124-Datos!D125)))</f>
        <v/>
      </c>
      <c r="BU130" s="21" t="str">
        <f>IF(ISBLANK(Datos!E125),"",(ABS(Datos!E124-Datos!E125)))</f>
        <v/>
      </c>
    </row>
    <row r="131" spans="1:73" x14ac:dyDescent="0.3">
      <c r="A131" s="16">
        <v>124</v>
      </c>
      <c r="B131" s="35"/>
      <c r="C131" s="32" t="e">
        <f t="shared" si="54"/>
        <v>#DIV/0!</v>
      </c>
      <c r="D131" s="32" t="e">
        <f t="shared" si="55"/>
        <v>#DIV/0!</v>
      </c>
      <c r="E131" s="32" t="e">
        <f t="shared" si="56"/>
        <v>#DIV/0!</v>
      </c>
      <c r="F131" s="32" t="e">
        <f t="shared" si="57"/>
        <v>#DIV/0!</v>
      </c>
      <c r="G131" s="32" t="e">
        <f t="shared" si="58"/>
        <v>#DIV/0!</v>
      </c>
      <c r="H131" s="32" t="e">
        <f t="shared" si="59"/>
        <v>#DIV/0!</v>
      </c>
      <c r="I131" s="32" t="e">
        <f t="shared" si="60"/>
        <v>#DIV/0!</v>
      </c>
      <c r="J131" s="32" t="e">
        <f t="shared" si="61"/>
        <v>#DIV/0!</v>
      </c>
      <c r="K131" s="33">
        <f t="shared" si="100"/>
        <v>0</v>
      </c>
      <c r="L131" s="34">
        <f t="shared" si="86"/>
        <v>0</v>
      </c>
      <c r="M131" s="33">
        <f t="shared" si="87"/>
        <v>0</v>
      </c>
      <c r="N131" s="34">
        <f t="shared" si="88"/>
        <v>0</v>
      </c>
      <c r="R131" s="16">
        <v>124</v>
      </c>
      <c r="S131" s="35"/>
      <c r="T131" s="32">
        <f t="shared" si="62"/>
        <v>6.3964700000000017</v>
      </c>
      <c r="U131" s="32">
        <f t="shared" si="63"/>
        <v>4.3797618818166538E-2</v>
      </c>
      <c r="V131" s="32">
        <f t="shared" si="64"/>
        <v>6.5278628564545009</v>
      </c>
      <c r="W131" s="32">
        <f t="shared" si="65"/>
        <v>6.2650771435455024</v>
      </c>
      <c r="X131" s="32">
        <f t="shared" si="66"/>
        <v>6.4840652376363348</v>
      </c>
      <c r="Y131" s="32">
        <f t="shared" si="67"/>
        <v>6.3088747623636685</v>
      </c>
      <c r="Z131" s="32">
        <f t="shared" si="68"/>
        <v>6.4402676188181678</v>
      </c>
      <c r="AA131" s="32">
        <f t="shared" si="69"/>
        <v>6.3526723811818355</v>
      </c>
      <c r="AB131" s="33">
        <f t="shared" si="89"/>
        <v>0</v>
      </c>
      <c r="AC131" s="34">
        <f t="shared" si="90"/>
        <v>4.2444444444444479E-2</v>
      </c>
      <c r="AD131" s="33">
        <f t="shared" si="91"/>
        <v>0</v>
      </c>
      <c r="AE131" s="34">
        <f t="shared" si="92"/>
        <v>0.13873391111111122</v>
      </c>
      <c r="AI131" s="16">
        <v>124</v>
      </c>
      <c r="AJ131" s="84"/>
      <c r="AK131" s="32">
        <f t="shared" si="70"/>
        <v>25.808199999999989</v>
      </c>
      <c r="AL131" s="32">
        <f t="shared" si="71"/>
        <v>7.4500084739969288E-2</v>
      </c>
      <c r="AM131" s="32">
        <f t="shared" si="72"/>
        <v>26.031700254219896</v>
      </c>
      <c r="AN131" s="32">
        <f t="shared" si="73"/>
        <v>25.584699745780082</v>
      </c>
      <c r="AO131" s="32">
        <f t="shared" si="74"/>
        <v>25.957200169479929</v>
      </c>
      <c r="AP131" s="32">
        <f t="shared" si="75"/>
        <v>25.659199830520048</v>
      </c>
      <c r="AQ131" s="32">
        <f t="shared" si="76"/>
        <v>25.882700084739959</v>
      </c>
      <c r="AR131" s="32">
        <f t="shared" si="77"/>
        <v>25.733699915260019</v>
      </c>
      <c r="AS131" s="33">
        <f t="shared" si="93"/>
        <v>0</v>
      </c>
      <c r="AT131" s="34">
        <f t="shared" si="94"/>
        <v>6.6666666666666249E-2</v>
      </c>
      <c r="AU131" s="34">
        <f t="shared" si="95"/>
        <v>0</v>
      </c>
      <c r="AV131" s="34">
        <f t="shared" si="96"/>
        <v>0.21790666666666531</v>
      </c>
      <c r="AZ131" s="16">
        <v>124</v>
      </c>
      <c r="BA131" s="35"/>
      <c r="BB131" s="32">
        <f t="shared" si="78"/>
        <v>25.750800000000005</v>
      </c>
      <c r="BC131" s="32">
        <f t="shared" si="79"/>
        <v>5.7272695206019339E-2</v>
      </c>
      <c r="BD131" s="32">
        <f t="shared" si="80"/>
        <v>25.922618085618062</v>
      </c>
      <c r="BE131" s="32">
        <f t="shared" si="81"/>
        <v>25.578981914381949</v>
      </c>
      <c r="BF131" s="32">
        <f t="shared" si="82"/>
        <v>25.865345390412045</v>
      </c>
      <c r="BG131" s="32">
        <f t="shared" si="83"/>
        <v>25.636254609587965</v>
      </c>
      <c r="BH131" s="32">
        <f t="shared" si="84"/>
        <v>25.808072695206025</v>
      </c>
      <c r="BI131" s="32">
        <f t="shared" si="85"/>
        <v>25.693527304793985</v>
      </c>
      <c r="BJ131" s="33">
        <f t="shared" si="53"/>
        <v>0</v>
      </c>
      <c r="BK131" s="34">
        <f t="shared" si="97"/>
        <v>3.6565656565656614E-2</v>
      </c>
      <c r="BL131" s="34">
        <f t="shared" si="98"/>
        <v>0</v>
      </c>
      <c r="BM131" s="34">
        <f t="shared" si="99"/>
        <v>0.11951850505050521</v>
      </c>
      <c r="BQ131" s="22">
        <v>124</v>
      </c>
      <c r="BR131" s="121" t="str">
        <f>IF(ISBLANK(Datos!B126),"",(ABS(Datos!B125-Datos!B126)))</f>
        <v/>
      </c>
      <c r="BS131" s="121" t="str">
        <f>IF(ISBLANK(Datos!C126),"",(ABS(Datos!C125-Datos!C126)))</f>
        <v/>
      </c>
      <c r="BT131" s="121" t="str">
        <f>IF(ISBLANK(Datos!D126),"",(ABS(Datos!D125-Datos!D126)))</f>
        <v/>
      </c>
      <c r="BU131" s="21" t="str">
        <f>IF(ISBLANK(Datos!E126),"",(ABS(Datos!E125-Datos!E126)))</f>
        <v/>
      </c>
    </row>
    <row r="132" spans="1:73" x14ac:dyDescent="0.3">
      <c r="A132" s="16">
        <v>125</v>
      </c>
      <c r="B132" s="35"/>
      <c r="C132" s="32" t="e">
        <f t="shared" si="54"/>
        <v>#DIV/0!</v>
      </c>
      <c r="D132" s="32" t="e">
        <f t="shared" si="55"/>
        <v>#DIV/0!</v>
      </c>
      <c r="E132" s="32" t="e">
        <f t="shared" si="56"/>
        <v>#DIV/0!</v>
      </c>
      <c r="F132" s="32" t="e">
        <f t="shared" si="57"/>
        <v>#DIV/0!</v>
      </c>
      <c r="G132" s="32" t="e">
        <f t="shared" si="58"/>
        <v>#DIV/0!</v>
      </c>
      <c r="H132" s="32" t="e">
        <f t="shared" si="59"/>
        <v>#DIV/0!</v>
      </c>
      <c r="I132" s="32" t="e">
        <f t="shared" si="60"/>
        <v>#DIV/0!</v>
      </c>
      <c r="J132" s="32" t="e">
        <f t="shared" si="61"/>
        <v>#DIV/0!</v>
      </c>
      <c r="K132" s="33">
        <f t="shared" si="100"/>
        <v>0</v>
      </c>
      <c r="L132" s="34">
        <f t="shared" si="86"/>
        <v>0</v>
      </c>
      <c r="M132" s="33">
        <f t="shared" si="87"/>
        <v>0</v>
      </c>
      <c r="N132" s="34">
        <f t="shared" si="88"/>
        <v>0</v>
      </c>
      <c r="R132" s="16">
        <v>125</v>
      </c>
      <c r="S132" s="35"/>
      <c r="T132" s="32">
        <f t="shared" si="62"/>
        <v>6.3964700000000017</v>
      </c>
      <c r="U132" s="32">
        <f t="shared" si="63"/>
        <v>4.3797618818166538E-2</v>
      </c>
      <c r="V132" s="32">
        <f t="shared" si="64"/>
        <v>6.5278628564545009</v>
      </c>
      <c r="W132" s="32">
        <f t="shared" si="65"/>
        <v>6.2650771435455024</v>
      </c>
      <c r="X132" s="32">
        <f t="shared" si="66"/>
        <v>6.4840652376363348</v>
      </c>
      <c r="Y132" s="32">
        <f t="shared" si="67"/>
        <v>6.3088747623636685</v>
      </c>
      <c r="Z132" s="32">
        <f t="shared" si="68"/>
        <v>6.4402676188181678</v>
      </c>
      <c r="AA132" s="32">
        <f t="shared" si="69"/>
        <v>6.3526723811818355</v>
      </c>
      <c r="AB132" s="33">
        <f t="shared" si="89"/>
        <v>0</v>
      </c>
      <c r="AC132" s="34">
        <f t="shared" si="90"/>
        <v>4.2444444444444479E-2</v>
      </c>
      <c r="AD132" s="33">
        <f t="shared" si="91"/>
        <v>0</v>
      </c>
      <c r="AE132" s="34">
        <f t="shared" si="92"/>
        <v>0.13873391111111122</v>
      </c>
      <c r="AI132" s="16">
        <v>125</v>
      </c>
      <c r="AJ132" s="84"/>
      <c r="AK132" s="32">
        <f t="shared" si="70"/>
        <v>25.808199999999989</v>
      </c>
      <c r="AL132" s="32">
        <f t="shared" si="71"/>
        <v>7.4500084739969288E-2</v>
      </c>
      <c r="AM132" s="32">
        <f t="shared" si="72"/>
        <v>26.031700254219896</v>
      </c>
      <c r="AN132" s="32">
        <f t="shared" si="73"/>
        <v>25.584699745780082</v>
      </c>
      <c r="AO132" s="32">
        <f t="shared" si="74"/>
        <v>25.957200169479929</v>
      </c>
      <c r="AP132" s="32">
        <f t="shared" si="75"/>
        <v>25.659199830520048</v>
      </c>
      <c r="AQ132" s="32">
        <f t="shared" si="76"/>
        <v>25.882700084739959</v>
      </c>
      <c r="AR132" s="32">
        <f t="shared" si="77"/>
        <v>25.733699915260019</v>
      </c>
      <c r="AS132" s="33">
        <f t="shared" si="93"/>
        <v>0</v>
      </c>
      <c r="AT132" s="34">
        <f t="shared" si="94"/>
        <v>6.6666666666666249E-2</v>
      </c>
      <c r="AU132" s="34">
        <f t="shared" si="95"/>
        <v>0</v>
      </c>
      <c r="AV132" s="34">
        <f t="shared" si="96"/>
        <v>0.21790666666666531</v>
      </c>
      <c r="AZ132" s="16">
        <v>125</v>
      </c>
      <c r="BA132" s="35"/>
      <c r="BB132" s="32">
        <f t="shared" si="78"/>
        <v>25.750800000000005</v>
      </c>
      <c r="BC132" s="32">
        <f t="shared" si="79"/>
        <v>5.7272695206019339E-2</v>
      </c>
      <c r="BD132" s="32">
        <f t="shared" si="80"/>
        <v>25.922618085618062</v>
      </c>
      <c r="BE132" s="32">
        <f t="shared" si="81"/>
        <v>25.578981914381949</v>
      </c>
      <c r="BF132" s="32">
        <f t="shared" si="82"/>
        <v>25.865345390412045</v>
      </c>
      <c r="BG132" s="32">
        <f t="shared" si="83"/>
        <v>25.636254609587965</v>
      </c>
      <c r="BH132" s="32">
        <f t="shared" si="84"/>
        <v>25.808072695206025</v>
      </c>
      <c r="BI132" s="32">
        <f t="shared" si="85"/>
        <v>25.693527304793985</v>
      </c>
      <c r="BJ132" s="33">
        <f t="shared" ref="BJ132:BJ137" si="101">ABS(BA131-BA132)</f>
        <v>0</v>
      </c>
      <c r="BK132" s="34">
        <f t="shared" si="97"/>
        <v>3.6565656565656614E-2</v>
      </c>
      <c r="BL132" s="34">
        <f t="shared" si="98"/>
        <v>0</v>
      </c>
      <c r="BM132" s="34">
        <f t="shared" si="99"/>
        <v>0.11951850505050521</v>
      </c>
      <c r="BQ132" s="22">
        <v>125</v>
      </c>
      <c r="BR132" s="121" t="str">
        <f>IF(ISBLANK(Datos!B127),"",(ABS(Datos!B126-Datos!B127)))</f>
        <v/>
      </c>
      <c r="BS132" s="121" t="str">
        <f>IF(ISBLANK(Datos!C127),"",(ABS(Datos!C126-Datos!C127)))</f>
        <v/>
      </c>
      <c r="BT132" s="121" t="str">
        <f>IF(ISBLANK(Datos!D127),"",(ABS(Datos!D126-Datos!D127)))</f>
        <v/>
      </c>
      <c r="BU132" s="21" t="str">
        <f>IF(ISBLANK(Datos!E127),"",(ABS(Datos!E126-Datos!E127)))</f>
        <v/>
      </c>
    </row>
    <row r="133" spans="1:73" x14ac:dyDescent="0.3">
      <c r="A133" s="16">
        <v>126</v>
      </c>
      <c r="B133" s="35"/>
      <c r="C133" s="32" t="e">
        <f t="shared" si="54"/>
        <v>#DIV/0!</v>
      </c>
      <c r="D133" s="32" t="e">
        <f t="shared" si="55"/>
        <v>#DIV/0!</v>
      </c>
      <c r="E133" s="32" t="e">
        <f t="shared" si="56"/>
        <v>#DIV/0!</v>
      </c>
      <c r="F133" s="32" t="e">
        <f t="shared" si="57"/>
        <v>#DIV/0!</v>
      </c>
      <c r="G133" s="32" t="e">
        <f t="shared" si="58"/>
        <v>#DIV/0!</v>
      </c>
      <c r="H133" s="32" t="e">
        <f t="shared" si="59"/>
        <v>#DIV/0!</v>
      </c>
      <c r="I133" s="32" t="e">
        <f t="shared" si="60"/>
        <v>#DIV/0!</v>
      </c>
      <c r="J133" s="32" t="e">
        <f t="shared" si="61"/>
        <v>#DIV/0!</v>
      </c>
      <c r="K133" s="33">
        <f t="shared" si="100"/>
        <v>0</v>
      </c>
      <c r="L133" s="34">
        <f t="shared" si="86"/>
        <v>0</v>
      </c>
      <c r="M133" s="33">
        <f t="shared" si="87"/>
        <v>0</v>
      </c>
      <c r="N133" s="34">
        <f t="shared" si="88"/>
        <v>0</v>
      </c>
      <c r="R133" s="16">
        <v>126</v>
      </c>
      <c r="S133" s="35"/>
      <c r="T133" s="32">
        <f t="shared" si="62"/>
        <v>6.3964700000000017</v>
      </c>
      <c r="U133" s="32">
        <f t="shared" si="63"/>
        <v>4.3797618818166538E-2</v>
      </c>
      <c r="V133" s="32">
        <f t="shared" si="64"/>
        <v>6.5278628564545009</v>
      </c>
      <c r="W133" s="32">
        <f t="shared" si="65"/>
        <v>6.2650771435455024</v>
      </c>
      <c r="X133" s="32">
        <f t="shared" si="66"/>
        <v>6.4840652376363348</v>
      </c>
      <c r="Y133" s="32">
        <f t="shared" si="67"/>
        <v>6.3088747623636685</v>
      </c>
      <c r="Z133" s="32">
        <f t="shared" si="68"/>
        <v>6.4402676188181678</v>
      </c>
      <c r="AA133" s="32">
        <f t="shared" si="69"/>
        <v>6.3526723811818355</v>
      </c>
      <c r="AB133" s="33">
        <f t="shared" si="89"/>
        <v>0</v>
      </c>
      <c r="AC133" s="34">
        <f t="shared" si="90"/>
        <v>4.2444444444444479E-2</v>
      </c>
      <c r="AD133" s="33">
        <f t="shared" si="91"/>
        <v>0</v>
      </c>
      <c r="AE133" s="34">
        <f t="shared" si="92"/>
        <v>0.13873391111111122</v>
      </c>
      <c r="AI133" s="16">
        <v>126</v>
      </c>
      <c r="AJ133" s="84"/>
      <c r="AK133" s="32">
        <f t="shared" si="70"/>
        <v>25.808199999999989</v>
      </c>
      <c r="AL133" s="32">
        <f t="shared" si="71"/>
        <v>7.4500084739969288E-2</v>
      </c>
      <c r="AM133" s="32">
        <f t="shared" si="72"/>
        <v>26.031700254219896</v>
      </c>
      <c r="AN133" s="32">
        <f t="shared" si="73"/>
        <v>25.584699745780082</v>
      </c>
      <c r="AO133" s="32">
        <f t="shared" si="74"/>
        <v>25.957200169479929</v>
      </c>
      <c r="AP133" s="32">
        <f t="shared" si="75"/>
        <v>25.659199830520048</v>
      </c>
      <c r="AQ133" s="32">
        <f t="shared" si="76"/>
        <v>25.882700084739959</v>
      </c>
      <c r="AR133" s="32">
        <f t="shared" si="77"/>
        <v>25.733699915260019</v>
      </c>
      <c r="AS133" s="33">
        <f t="shared" si="93"/>
        <v>0</v>
      </c>
      <c r="AT133" s="34">
        <f t="shared" si="94"/>
        <v>6.6666666666666249E-2</v>
      </c>
      <c r="AU133" s="34">
        <f t="shared" si="95"/>
        <v>0</v>
      </c>
      <c r="AV133" s="34">
        <f t="shared" si="96"/>
        <v>0.21790666666666531</v>
      </c>
      <c r="AZ133" s="16">
        <v>126</v>
      </c>
      <c r="BA133" s="35"/>
      <c r="BB133" s="32">
        <f t="shared" si="78"/>
        <v>25.750800000000005</v>
      </c>
      <c r="BC133" s="32">
        <f t="shared" si="79"/>
        <v>5.7272695206019339E-2</v>
      </c>
      <c r="BD133" s="32">
        <f t="shared" si="80"/>
        <v>25.922618085618062</v>
      </c>
      <c r="BE133" s="32">
        <f t="shared" si="81"/>
        <v>25.578981914381949</v>
      </c>
      <c r="BF133" s="32">
        <f t="shared" si="82"/>
        <v>25.865345390412045</v>
      </c>
      <c r="BG133" s="32">
        <f t="shared" si="83"/>
        <v>25.636254609587965</v>
      </c>
      <c r="BH133" s="32">
        <f t="shared" si="84"/>
        <v>25.808072695206025</v>
      </c>
      <c r="BI133" s="32">
        <f t="shared" si="85"/>
        <v>25.693527304793985</v>
      </c>
      <c r="BJ133" s="33">
        <f t="shared" si="101"/>
        <v>0</v>
      </c>
      <c r="BK133" s="34">
        <f t="shared" si="97"/>
        <v>3.6565656565656614E-2</v>
      </c>
      <c r="BL133" s="34">
        <f t="shared" si="98"/>
        <v>0</v>
      </c>
      <c r="BM133" s="34">
        <f t="shared" si="99"/>
        <v>0.11951850505050521</v>
      </c>
      <c r="BQ133" s="22">
        <v>126</v>
      </c>
      <c r="BR133" s="121" t="str">
        <f>IF(ISBLANK(Datos!B128),"",(ABS(Datos!B127-Datos!B128)))</f>
        <v/>
      </c>
      <c r="BS133" s="121" t="str">
        <f>IF(ISBLANK(Datos!C128),"",(ABS(Datos!C127-Datos!C128)))</f>
        <v/>
      </c>
      <c r="BT133" s="121" t="str">
        <f>IF(ISBLANK(Datos!D128),"",(ABS(Datos!D127-Datos!D128)))</f>
        <v/>
      </c>
      <c r="BU133" s="21" t="str">
        <f>IF(ISBLANK(Datos!E128),"",(ABS(Datos!E127-Datos!E128)))</f>
        <v/>
      </c>
    </row>
    <row r="134" spans="1:73" x14ac:dyDescent="0.3">
      <c r="A134" s="16">
        <v>127</v>
      </c>
      <c r="B134" s="35"/>
      <c r="C134" s="32" t="e">
        <f t="shared" si="54"/>
        <v>#DIV/0!</v>
      </c>
      <c r="D134" s="32" t="e">
        <f t="shared" si="55"/>
        <v>#DIV/0!</v>
      </c>
      <c r="E134" s="32" t="e">
        <f t="shared" si="56"/>
        <v>#DIV/0!</v>
      </c>
      <c r="F134" s="32" t="e">
        <f t="shared" si="57"/>
        <v>#DIV/0!</v>
      </c>
      <c r="G134" s="32" t="e">
        <f t="shared" si="58"/>
        <v>#DIV/0!</v>
      </c>
      <c r="H134" s="32" t="e">
        <f t="shared" si="59"/>
        <v>#DIV/0!</v>
      </c>
      <c r="I134" s="32" t="e">
        <f t="shared" si="60"/>
        <v>#DIV/0!</v>
      </c>
      <c r="J134" s="32" t="e">
        <f t="shared" si="61"/>
        <v>#DIV/0!</v>
      </c>
      <c r="K134" s="33">
        <f t="shared" si="100"/>
        <v>0</v>
      </c>
      <c r="L134" s="34">
        <f t="shared" si="86"/>
        <v>0</v>
      </c>
      <c r="M134" s="33">
        <f t="shared" si="87"/>
        <v>0</v>
      </c>
      <c r="N134" s="34">
        <f t="shared" si="88"/>
        <v>0</v>
      </c>
      <c r="R134" s="16">
        <v>127</v>
      </c>
      <c r="S134" s="35"/>
      <c r="T134" s="32">
        <f t="shared" si="62"/>
        <v>6.3964700000000017</v>
      </c>
      <c r="U134" s="32">
        <f t="shared" si="63"/>
        <v>4.3797618818166538E-2</v>
      </c>
      <c r="V134" s="32">
        <f t="shared" si="64"/>
        <v>6.5278628564545009</v>
      </c>
      <c r="W134" s="32">
        <f t="shared" si="65"/>
        <v>6.2650771435455024</v>
      </c>
      <c r="X134" s="32">
        <f t="shared" si="66"/>
        <v>6.4840652376363348</v>
      </c>
      <c r="Y134" s="32">
        <f t="shared" si="67"/>
        <v>6.3088747623636685</v>
      </c>
      <c r="Z134" s="32">
        <f t="shared" si="68"/>
        <v>6.4402676188181678</v>
      </c>
      <c r="AA134" s="32">
        <f t="shared" si="69"/>
        <v>6.3526723811818355</v>
      </c>
      <c r="AB134" s="33">
        <f t="shared" si="89"/>
        <v>0</v>
      </c>
      <c r="AC134" s="34">
        <f t="shared" si="90"/>
        <v>4.2444444444444479E-2</v>
      </c>
      <c r="AD134" s="33">
        <f t="shared" si="91"/>
        <v>0</v>
      </c>
      <c r="AE134" s="34">
        <f t="shared" si="92"/>
        <v>0.13873391111111122</v>
      </c>
      <c r="AI134" s="16">
        <v>127</v>
      </c>
      <c r="AJ134" s="84"/>
      <c r="AK134" s="32">
        <f t="shared" si="70"/>
        <v>25.808199999999989</v>
      </c>
      <c r="AL134" s="32">
        <f t="shared" si="71"/>
        <v>7.4500084739969288E-2</v>
      </c>
      <c r="AM134" s="32">
        <f t="shared" si="72"/>
        <v>26.031700254219896</v>
      </c>
      <c r="AN134" s="32">
        <f t="shared" si="73"/>
        <v>25.584699745780082</v>
      </c>
      <c r="AO134" s="32">
        <f t="shared" si="74"/>
        <v>25.957200169479929</v>
      </c>
      <c r="AP134" s="32">
        <f t="shared" si="75"/>
        <v>25.659199830520048</v>
      </c>
      <c r="AQ134" s="32">
        <f t="shared" si="76"/>
        <v>25.882700084739959</v>
      </c>
      <c r="AR134" s="32">
        <f t="shared" si="77"/>
        <v>25.733699915260019</v>
      </c>
      <c r="AS134" s="33">
        <f t="shared" si="93"/>
        <v>0</v>
      </c>
      <c r="AT134" s="34">
        <f t="shared" si="94"/>
        <v>6.6666666666666249E-2</v>
      </c>
      <c r="AU134" s="34">
        <f t="shared" si="95"/>
        <v>0</v>
      </c>
      <c r="AV134" s="34">
        <f t="shared" si="96"/>
        <v>0.21790666666666531</v>
      </c>
      <c r="AZ134" s="16">
        <v>127</v>
      </c>
      <c r="BA134" s="35"/>
      <c r="BB134" s="32">
        <f t="shared" si="78"/>
        <v>25.750800000000005</v>
      </c>
      <c r="BC134" s="32">
        <f t="shared" si="79"/>
        <v>5.7272695206019339E-2</v>
      </c>
      <c r="BD134" s="32">
        <f t="shared" si="80"/>
        <v>25.922618085618062</v>
      </c>
      <c r="BE134" s="32">
        <f t="shared" si="81"/>
        <v>25.578981914381949</v>
      </c>
      <c r="BF134" s="32">
        <f t="shared" si="82"/>
        <v>25.865345390412045</v>
      </c>
      <c r="BG134" s="32">
        <f t="shared" si="83"/>
        <v>25.636254609587965</v>
      </c>
      <c r="BH134" s="32">
        <f t="shared" si="84"/>
        <v>25.808072695206025</v>
      </c>
      <c r="BI134" s="32">
        <f t="shared" si="85"/>
        <v>25.693527304793985</v>
      </c>
      <c r="BJ134" s="33">
        <f t="shared" si="101"/>
        <v>0</v>
      </c>
      <c r="BK134" s="34">
        <f t="shared" si="97"/>
        <v>3.6565656565656614E-2</v>
      </c>
      <c r="BL134" s="34">
        <f t="shared" si="98"/>
        <v>0</v>
      </c>
      <c r="BM134" s="34">
        <f t="shared" si="99"/>
        <v>0.11951850505050521</v>
      </c>
      <c r="BQ134" s="22">
        <v>127</v>
      </c>
      <c r="BR134" s="121" t="str">
        <f>IF(ISBLANK(Datos!B129),"",(ABS(Datos!B128-Datos!B129)))</f>
        <v/>
      </c>
      <c r="BS134" s="121" t="str">
        <f>IF(ISBLANK(Datos!C129),"",(ABS(Datos!C128-Datos!C129)))</f>
        <v/>
      </c>
      <c r="BT134" s="121" t="str">
        <f>IF(ISBLANK(Datos!D129),"",(ABS(Datos!D128-Datos!D129)))</f>
        <v/>
      </c>
      <c r="BU134" s="21" t="str">
        <f>IF(ISBLANK(Datos!E129),"",(ABS(Datos!E128-Datos!E129)))</f>
        <v/>
      </c>
    </row>
    <row r="135" spans="1:73" x14ac:dyDescent="0.3">
      <c r="A135" s="16">
        <v>128</v>
      </c>
      <c r="B135" s="35"/>
      <c r="C135" s="32" t="e">
        <f t="shared" si="54"/>
        <v>#DIV/0!</v>
      </c>
      <c r="D135" s="32" t="e">
        <f t="shared" si="55"/>
        <v>#DIV/0!</v>
      </c>
      <c r="E135" s="32" t="e">
        <f t="shared" si="56"/>
        <v>#DIV/0!</v>
      </c>
      <c r="F135" s="32" t="e">
        <f t="shared" si="57"/>
        <v>#DIV/0!</v>
      </c>
      <c r="G135" s="32" t="e">
        <f t="shared" si="58"/>
        <v>#DIV/0!</v>
      </c>
      <c r="H135" s="32" t="e">
        <f t="shared" si="59"/>
        <v>#DIV/0!</v>
      </c>
      <c r="I135" s="32" t="e">
        <f t="shared" si="60"/>
        <v>#DIV/0!</v>
      </c>
      <c r="J135" s="32" t="e">
        <f t="shared" si="61"/>
        <v>#DIV/0!</v>
      </c>
      <c r="K135" s="33">
        <f t="shared" si="100"/>
        <v>0</v>
      </c>
      <c r="L135" s="34">
        <f t="shared" si="86"/>
        <v>0</v>
      </c>
      <c r="M135" s="33">
        <f t="shared" si="87"/>
        <v>0</v>
      </c>
      <c r="N135" s="34">
        <f t="shared" si="88"/>
        <v>0</v>
      </c>
      <c r="R135" s="16">
        <v>128</v>
      </c>
      <c r="S135" s="35"/>
      <c r="T135" s="32">
        <f t="shared" si="62"/>
        <v>6.3964700000000017</v>
      </c>
      <c r="U135" s="32">
        <f t="shared" si="63"/>
        <v>4.3797618818166538E-2</v>
      </c>
      <c r="V135" s="32">
        <f t="shared" si="64"/>
        <v>6.5278628564545009</v>
      </c>
      <c r="W135" s="32">
        <f t="shared" si="65"/>
        <v>6.2650771435455024</v>
      </c>
      <c r="X135" s="32">
        <f t="shared" si="66"/>
        <v>6.4840652376363348</v>
      </c>
      <c r="Y135" s="32">
        <f t="shared" si="67"/>
        <v>6.3088747623636685</v>
      </c>
      <c r="Z135" s="32">
        <f t="shared" si="68"/>
        <v>6.4402676188181678</v>
      </c>
      <c r="AA135" s="32">
        <f t="shared" si="69"/>
        <v>6.3526723811818355</v>
      </c>
      <c r="AB135" s="33">
        <f t="shared" si="89"/>
        <v>0</v>
      </c>
      <c r="AC135" s="34">
        <f t="shared" si="90"/>
        <v>4.2444444444444479E-2</v>
      </c>
      <c r="AD135" s="33">
        <f t="shared" si="91"/>
        <v>0</v>
      </c>
      <c r="AE135" s="34">
        <f t="shared" si="92"/>
        <v>0.13873391111111122</v>
      </c>
      <c r="AI135" s="16">
        <v>128</v>
      </c>
      <c r="AJ135" s="84"/>
      <c r="AK135" s="32">
        <f t="shared" si="70"/>
        <v>25.808199999999989</v>
      </c>
      <c r="AL135" s="32">
        <f t="shared" si="71"/>
        <v>7.4500084739969288E-2</v>
      </c>
      <c r="AM135" s="32">
        <f t="shared" si="72"/>
        <v>26.031700254219896</v>
      </c>
      <c r="AN135" s="32">
        <f t="shared" si="73"/>
        <v>25.584699745780082</v>
      </c>
      <c r="AO135" s="32">
        <f t="shared" si="74"/>
        <v>25.957200169479929</v>
      </c>
      <c r="AP135" s="32">
        <f t="shared" si="75"/>
        <v>25.659199830520048</v>
      </c>
      <c r="AQ135" s="32">
        <f t="shared" si="76"/>
        <v>25.882700084739959</v>
      </c>
      <c r="AR135" s="32">
        <f t="shared" si="77"/>
        <v>25.733699915260019</v>
      </c>
      <c r="AS135" s="33">
        <f t="shared" si="93"/>
        <v>0</v>
      </c>
      <c r="AT135" s="34">
        <f t="shared" si="94"/>
        <v>6.6666666666666249E-2</v>
      </c>
      <c r="AU135" s="34">
        <f t="shared" si="95"/>
        <v>0</v>
      </c>
      <c r="AV135" s="34">
        <f t="shared" si="96"/>
        <v>0.21790666666666531</v>
      </c>
      <c r="AZ135" s="16">
        <v>128</v>
      </c>
      <c r="BA135" s="35"/>
      <c r="BB135" s="32">
        <f t="shared" si="78"/>
        <v>25.750800000000005</v>
      </c>
      <c r="BC135" s="32">
        <f t="shared" si="79"/>
        <v>5.7272695206019339E-2</v>
      </c>
      <c r="BD135" s="32">
        <f t="shared" si="80"/>
        <v>25.922618085618062</v>
      </c>
      <c r="BE135" s="32">
        <f t="shared" si="81"/>
        <v>25.578981914381949</v>
      </c>
      <c r="BF135" s="32">
        <f t="shared" si="82"/>
        <v>25.865345390412045</v>
      </c>
      <c r="BG135" s="32">
        <f t="shared" si="83"/>
        <v>25.636254609587965</v>
      </c>
      <c r="BH135" s="32">
        <f t="shared" si="84"/>
        <v>25.808072695206025</v>
      </c>
      <c r="BI135" s="32">
        <f t="shared" si="85"/>
        <v>25.693527304793985</v>
      </c>
      <c r="BJ135" s="33">
        <f t="shared" si="101"/>
        <v>0</v>
      </c>
      <c r="BK135" s="34">
        <f t="shared" si="97"/>
        <v>3.6565656565656614E-2</v>
      </c>
      <c r="BL135" s="34">
        <f t="shared" si="98"/>
        <v>0</v>
      </c>
      <c r="BM135" s="34">
        <f t="shared" si="99"/>
        <v>0.11951850505050521</v>
      </c>
      <c r="BQ135" s="22">
        <v>128</v>
      </c>
      <c r="BR135" s="121" t="str">
        <f>IF(ISBLANK(Datos!B130),"",(ABS(Datos!B129-Datos!B130)))</f>
        <v/>
      </c>
      <c r="BS135" s="121" t="str">
        <f>IF(ISBLANK(Datos!C130),"",(ABS(Datos!C129-Datos!C130)))</f>
        <v/>
      </c>
      <c r="BT135" s="121" t="str">
        <f>IF(ISBLANK(Datos!D130),"",(ABS(Datos!D129-Datos!D130)))</f>
        <v/>
      </c>
      <c r="BU135" s="21" t="str">
        <f>IF(ISBLANK(Datos!E130),"",(ABS(Datos!E129-Datos!E130)))</f>
        <v/>
      </c>
    </row>
    <row r="136" spans="1:73" x14ac:dyDescent="0.3">
      <c r="A136" s="16">
        <v>129</v>
      </c>
      <c r="B136" s="35"/>
      <c r="C136" s="32" t="e">
        <f t="shared" si="54"/>
        <v>#DIV/0!</v>
      </c>
      <c r="D136" s="32" t="e">
        <f t="shared" si="55"/>
        <v>#DIV/0!</v>
      </c>
      <c r="E136" s="32" t="e">
        <f t="shared" si="56"/>
        <v>#DIV/0!</v>
      </c>
      <c r="F136" s="32" t="e">
        <f t="shared" si="57"/>
        <v>#DIV/0!</v>
      </c>
      <c r="G136" s="32" t="e">
        <f t="shared" si="58"/>
        <v>#DIV/0!</v>
      </c>
      <c r="H136" s="32" t="e">
        <f t="shared" si="59"/>
        <v>#DIV/0!</v>
      </c>
      <c r="I136" s="32" t="e">
        <f t="shared" si="60"/>
        <v>#DIV/0!</v>
      </c>
      <c r="J136" s="32" t="e">
        <f t="shared" si="61"/>
        <v>#DIV/0!</v>
      </c>
      <c r="K136" s="33">
        <f t="shared" si="100"/>
        <v>0</v>
      </c>
      <c r="L136" s="34">
        <f t="shared" si="86"/>
        <v>0</v>
      </c>
      <c r="M136" s="33">
        <f t="shared" si="87"/>
        <v>0</v>
      </c>
      <c r="N136" s="34">
        <f t="shared" si="88"/>
        <v>0</v>
      </c>
      <c r="R136" s="16">
        <v>129</v>
      </c>
      <c r="S136" s="35"/>
      <c r="T136" s="32">
        <f t="shared" si="62"/>
        <v>6.3964700000000017</v>
      </c>
      <c r="U136" s="32">
        <f t="shared" si="63"/>
        <v>4.3797618818166538E-2</v>
      </c>
      <c r="V136" s="32">
        <f t="shared" si="64"/>
        <v>6.5278628564545009</v>
      </c>
      <c r="W136" s="32">
        <f t="shared" si="65"/>
        <v>6.2650771435455024</v>
      </c>
      <c r="X136" s="32">
        <f t="shared" si="66"/>
        <v>6.4840652376363348</v>
      </c>
      <c r="Y136" s="32">
        <f t="shared" si="67"/>
        <v>6.3088747623636685</v>
      </c>
      <c r="Z136" s="32">
        <f t="shared" si="68"/>
        <v>6.4402676188181678</v>
      </c>
      <c r="AA136" s="32">
        <f t="shared" si="69"/>
        <v>6.3526723811818355</v>
      </c>
      <c r="AB136" s="33">
        <f t="shared" si="89"/>
        <v>0</v>
      </c>
      <c r="AC136" s="34">
        <f t="shared" si="90"/>
        <v>4.2444444444444479E-2</v>
      </c>
      <c r="AD136" s="33">
        <f t="shared" si="91"/>
        <v>0</v>
      </c>
      <c r="AE136" s="34">
        <f t="shared" si="92"/>
        <v>0.13873391111111122</v>
      </c>
      <c r="AI136" s="16">
        <v>129</v>
      </c>
      <c r="AJ136" s="84"/>
      <c r="AK136" s="32">
        <f t="shared" si="70"/>
        <v>25.808199999999989</v>
      </c>
      <c r="AL136" s="32">
        <f t="shared" si="71"/>
        <v>7.4500084739969288E-2</v>
      </c>
      <c r="AM136" s="32">
        <f t="shared" si="72"/>
        <v>26.031700254219896</v>
      </c>
      <c r="AN136" s="32">
        <f t="shared" si="73"/>
        <v>25.584699745780082</v>
      </c>
      <c r="AO136" s="32">
        <f t="shared" si="74"/>
        <v>25.957200169479929</v>
      </c>
      <c r="AP136" s="32">
        <f t="shared" si="75"/>
        <v>25.659199830520048</v>
      </c>
      <c r="AQ136" s="32">
        <f t="shared" si="76"/>
        <v>25.882700084739959</v>
      </c>
      <c r="AR136" s="32">
        <f t="shared" si="77"/>
        <v>25.733699915260019</v>
      </c>
      <c r="AS136" s="33">
        <f t="shared" si="93"/>
        <v>0</v>
      </c>
      <c r="AT136" s="34">
        <f t="shared" si="94"/>
        <v>6.6666666666666249E-2</v>
      </c>
      <c r="AU136" s="34">
        <f t="shared" si="95"/>
        <v>0</v>
      </c>
      <c r="AV136" s="34">
        <f t="shared" si="96"/>
        <v>0.21790666666666531</v>
      </c>
      <c r="AZ136" s="16">
        <v>129</v>
      </c>
      <c r="BA136" s="35"/>
      <c r="BB136" s="32">
        <f t="shared" si="78"/>
        <v>25.750800000000005</v>
      </c>
      <c r="BC136" s="32">
        <f t="shared" si="79"/>
        <v>5.7272695206019339E-2</v>
      </c>
      <c r="BD136" s="32">
        <f t="shared" si="80"/>
        <v>25.922618085618062</v>
      </c>
      <c r="BE136" s="32">
        <f t="shared" si="81"/>
        <v>25.578981914381949</v>
      </c>
      <c r="BF136" s="32">
        <f t="shared" si="82"/>
        <v>25.865345390412045</v>
      </c>
      <c r="BG136" s="32">
        <f t="shared" si="83"/>
        <v>25.636254609587965</v>
      </c>
      <c r="BH136" s="32">
        <f t="shared" si="84"/>
        <v>25.808072695206025</v>
      </c>
      <c r="BI136" s="32">
        <f t="shared" si="85"/>
        <v>25.693527304793985</v>
      </c>
      <c r="BJ136" s="33">
        <f t="shared" si="101"/>
        <v>0</v>
      </c>
      <c r="BK136" s="34">
        <f t="shared" si="97"/>
        <v>3.6565656565656614E-2</v>
      </c>
      <c r="BL136" s="34">
        <f t="shared" si="98"/>
        <v>0</v>
      </c>
      <c r="BM136" s="34">
        <f t="shared" si="99"/>
        <v>0.11951850505050521</v>
      </c>
      <c r="BQ136" s="22">
        <v>129</v>
      </c>
      <c r="BR136" s="121" t="str">
        <f>IF(ISBLANK(Datos!B131),"",(ABS(Datos!B130-Datos!B131)))</f>
        <v/>
      </c>
      <c r="BS136" s="121" t="str">
        <f>IF(ISBLANK(Datos!C131),"",(ABS(Datos!C130-Datos!C131)))</f>
        <v/>
      </c>
      <c r="BT136" s="121" t="str">
        <f>IF(ISBLANK(Datos!D131),"",(ABS(Datos!D130-Datos!D131)))</f>
        <v/>
      </c>
      <c r="BU136" s="21" t="str">
        <f>IF(ISBLANK(Datos!E131),"",(ABS(Datos!E130-Datos!E131)))</f>
        <v/>
      </c>
    </row>
    <row r="137" spans="1:73" x14ac:dyDescent="0.3">
      <c r="A137" s="16">
        <v>130</v>
      </c>
      <c r="B137" s="35"/>
      <c r="C137" s="32" t="e">
        <f t="shared" ref="C137:C157" si="102">$C$7</f>
        <v>#DIV/0!</v>
      </c>
      <c r="D137" s="32" t="e">
        <f t="shared" ref="D137:D157" si="103">$D$7</f>
        <v>#DIV/0!</v>
      </c>
      <c r="E137" s="32" t="e">
        <f t="shared" ref="E137:E157" si="104">$E$7</f>
        <v>#DIV/0!</v>
      </c>
      <c r="F137" s="32" t="e">
        <f t="shared" ref="F137:F157" si="105">$F$7</f>
        <v>#DIV/0!</v>
      </c>
      <c r="G137" s="32" t="e">
        <f t="shared" ref="G137:G157" si="106">$G$7</f>
        <v>#DIV/0!</v>
      </c>
      <c r="H137" s="32" t="e">
        <f t="shared" ref="H137:H157" si="107">$H$7</f>
        <v>#DIV/0!</v>
      </c>
      <c r="I137" s="32" t="e">
        <f t="shared" ref="I137:I157" si="108">$I$7</f>
        <v>#DIV/0!</v>
      </c>
      <c r="J137" s="32" t="e">
        <f t="shared" ref="J137:J157" si="109">$J$7</f>
        <v>#DIV/0!</v>
      </c>
      <c r="K137" s="33">
        <f t="shared" si="100"/>
        <v>0</v>
      </c>
      <c r="L137" s="34">
        <f t="shared" si="86"/>
        <v>0</v>
      </c>
      <c r="M137" s="33">
        <f t="shared" si="87"/>
        <v>0</v>
      </c>
      <c r="N137" s="34">
        <f t="shared" si="88"/>
        <v>0</v>
      </c>
      <c r="R137" s="16">
        <v>130</v>
      </c>
      <c r="S137" s="35"/>
      <c r="T137" s="32">
        <f t="shared" ref="T137:T157" si="110">$T$7</f>
        <v>6.3964700000000017</v>
      </c>
      <c r="U137" s="32">
        <f t="shared" ref="U137:U157" si="111">$U$7</f>
        <v>4.3797618818166538E-2</v>
      </c>
      <c r="V137" s="32">
        <f t="shared" ref="V137:V157" si="112">$V$7</f>
        <v>6.5278628564545009</v>
      </c>
      <c r="W137" s="32">
        <f t="shared" ref="W137:W157" si="113">$W$7</f>
        <v>6.2650771435455024</v>
      </c>
      <c r="X137" s="32">
        <f t="shared" ref="X137:X157" si="114">$X$7</f>
        <v>6.4840652376363348</v>
      </c>
      <c r="Y137" s="32">
        <f t="shared" ref="Y137:Y157" si="115">$Y$7</f>
        <v>6.3088747623636685</v>
      </c>
      <c r="Z137" s="32">
        <f t="shared" ref="Z137:Z157" si="116">$Z$7</f>
        <v>6.4402676188181678</v>
      </c>
      <c r="AA137" s="32">
        <f t="shared" ref="AA137:AA157" si="117">$AA$7</f>
        <v>6.3526723811818355</v>
      </c>
      <c r="AB137" s="33">
        <f t="shared" si="89"/>
        <v>0</v>
      </c>
      <c r="AC137" s="34">
        <f t="shared" si="90"/>
        <v>4.2444444444444479E-2</v>
      </c>
      <c r="AD137" s="33">
        <f t="shared" si="91"/>
        <v>0</v>
      </c>
      <c r="AE137" s="34">
        <f t="shared" si="92"/>
        <v>0.13873391111111122</v>
      </c>
      <c r="AI137" s="16">
        <v>130</v>
      </c>
      <c r="AJ137" s="84"/>
      <c r="AK137" s="32">
        <f t="shared" ref="AK137:AK157" si="118">$AK$7</f>
        <v>25.808199999999989</v>
      </c>
      <c r="AL137" s="32">
        <f t="shared" ref="AL137:AL157" si="119">$AL$7</f>
        <v>7.4500084739969288E-2</v>
      </c>
      <c r="AM137" s="32">
        <f t="shared" ref="AM137:AM157" si="120">$AM$7</f>
        <v>26.031700254219896</v>
      </c>
      <c r="AN137" s="32">
        <f t="shared" ref="AN137:AN157" si="121">$AN$7</f>
        <v>25.584699745780082</v>
      </c>
      <c r="AO137" s="32">
        <f t="shared" ref="AO137:AO157" si="122">$AO$7</f>
        <v>25.957200169479929</v>
      </c>
      <c r="AP137" s="32">
        <f t="shared" ref="AP137:AP157" si="123">$AP$7</f>
        <v>25.659199830520048</v>
      </c>
      <c r="AQ137" s="32">
        <f t="shared" ref="AQ137:AQ157" si="124">$AQ$7</f>
        <v>25.882700084739959</v>
      </c>
      <c r="AR137" s="32">
        <f t="shared" ref="AR137:AR157" si="125">$AR$7</f>
        <v>25.733699915260019</v>
      </c>
      <c r="AS137" s="33"/>
      <c r="AT137" s="34">
        <f t="shared" si="94"/>
        <v>6.6666666666666249E-2</v>
      </c>
      <c r="AU137" s="34">
        <f t="shared" si="95"/>
        <v>0</v>
      </c>
      <c r="AV137" s="34">
        <f t="shared" si="96"/>
        <v>0.21790666666666531</v>
      </c>
      <c r="AZ137" s="16">
        <v>130</v>
      </c>
      <c r="BA137" s="35"/>
      <c r="BB137" s="32">
        <f t="shared" ref="BB137:BB157" si="126">$BB$7</f>
        <v>25.750800000000005</v>
      </c>
      <c r="BC137" s="32">
        <f t="shared" ref="BC137:BC157" si="127">$BC$7</f>
        <v>5.7272695206019339E-2</v>
      </c>
      <c r="BD137" s="32">
        <f t="shared" ref="BD137:BD157" si="128">$BD$7</f>
        <v>25.922618085618062</v>
      </c>
      <c r="BE137" s="32">
        <f t="shared" ref="BE137:BE157" si="129">$BE$7</f>
        <v>25.578981914381949</v>
      </c>
      <c r="BF137" s="32">
        <f t="shared" ref="BF137:BF157" si="130">$BF$7</f>
        <v>25.865345390412045</v>
      </c>
      <c r="BG137" s="32">
        <f t="shared" ref="BG137:BG157" si="131">$BG$7</f>
        <v>25.636254609587965</v>
      </c>
      <c r="BH137" s="32">
        <f t="shared" ref="BH137:BH157" si="132">$BH$7</f>
        <v>25.808072695206025</v>
      </c>
      <c r="BI137" s="32">
        <f t="shared" ref="BI137:BI157" si="133">BI136</f>
        <v>25.693527304793985</v>
      </c>
      <c r="BJ137" s="33">
        <f t="shared" si="101"/>
        <v>0</v>
      </c>
      <c r="BK137" s="34">
        <f t="shared" si="97"/>
        <v>3.6565656565656614E-2</v>
      </c>
      <c r="BL137" s="34">
        <f t="shared" si="98"/>
        <v>0</v>
      </c>
      <c r="BM137" s="34">
        <f t="shared" si="99"/>
        <v>0.11951850505050521</v>
      </c>
      <c r="BQ137" s="22">
        <v>130</v>
      </c>
      <c r="BR137" s="121" t="str">
        <f>IF(ISBLANK(Datos!B132),"",(ABS(Datos!B131-Datos!B132)))</f>
        <v/>
      </c>
      <c r="BS137" s="121" t="str">
        <f>IF(ISBLANK(Datos!C132),"",(ABS(Datos!C131-Datos!C132)))</f>
        <v/>
      </c>
      <c r="BT137" s="121" t="str">
        <f>IF(ISBLANK(Datos!D132),"",(ABS(Datos!D131-Datos!D132)))</f>
        <v/>
      </c>
      <c r="BU137" s="21" t="str">
        <f>IF(ISBLANK(Datos!E132),"",(ABS(Datos!E131-Datos!E132)))</f>
        <v/>
      </c>
    </row>
    <row r="138" spans="1:73" x14ac:dyDescent="0.3">
      <c r="A138" s="16">
        <v>131</v>
      </c>
      <c r="B138" s="35"/>
      <c r="C138" s="32" t="e">
        <f t="shared" si="102"/>
        <v>#DIV/0!</v>
      </c>
      <c r="D138" s="32" t="e">
        <f t="shared" si="103"/>
        <v>#DIV/0!</v>
      </c>
      <c r="E138" s="32" t="e">
        <f t="shared" si="104"/>
        <v>#DIV/0!</v>
      </c>
      <c r="F138" s="32" t="e">
        <f t="shared" si="105"/>
        <v>#DIV/0!</v>
      </c>
      <c r="G138" s="32" t="e">
        <f t="shared" si="106"/>
        <v>#DIV/0!</v>
      </c>
      <c r="H138" s="32" t="e">
        <f t="shared" si="107"/>
        <v>#DIV/0!</v>
      </c>
      <c r="I138" s="32" t="e">
        <f t="shared" si="108"/>
        <v>#DIV/0!</v>
      </c>
      <c r="J138" s="32" t="e">
        <f t="shared" si="109"/>
        <v>#DIV/0!</v>
      </c>
      <c r="K138" s="33">
        <f t="shared" si="100"/>
        <v>0</v>
      </c>
      <c r="L138" s="34">
        <f t="shared" ref="L138:L157" si="134">$L$8</f>
        <v>0</v>
      </c>
      <c r="M138" s="33">
        <f t="shared" ref="M138:M157" si="135">$M$8</f>
        <v>0</v>
      </c>
      <c r="N138" s="34">
        <f t="shared" ref="N138:N157" si="136">$N$8</f>
        <v>0</v>
      </c>
      <c r="R138" s="16">
        <v>131</v>
      </c>
      <c r="S138" s="35"/>
      <c r="T138" s="32">
        <f t="shared" si="110"/>
        <v>6.3964700000000017</v>
      </c>
      <c r="U138" s="32">
        <f t="shared" si="111"/>
        <v>4.3797618818166538E-2</v>
      </c>
      <c r="V138" s="32">
        <f t="shared" si="112"/>
        <v>6.5278628564545009</v>
      </c>
      <c r="W138" s="32">
        <f t="shared" si="113"/>
        <v>6.2650771435455024</v>
      </c>
      <c r="X138" s="32">
        <f t="shared" si="114"/>
        <v>6.4840652376363348</v>
      </c>
      <c r="Y138" s="32">
        <f t="shared" si="115"/>
        <v>6.3088747623636685</v>
      </c>
      <c r="Z138" s="32">
        <f t="shared" si="116"/>
        <v>6.4402676188181678</v>
      </c>
      <c r="AA138" s="32">
        <f t="shared" si="117"/>
        <v>6.3526723811818355</v>
      </c>
      <c r="AB138" s="33">
        <f t="shared" ref="AB138:AB157" si="137">ABS(S137-S138)</f>
        <v>0</v>
      </c>
      <c r="AC138" s="34">
        <f t="shared" ref="AC138:AC157" si="138">$AC$8</f>
        <v>4.2444444444444479E-2</v>
      </c>
      <c r="AD138" s="33">
        <f t="shared" ref="AD138:AD157" si="139">$AD$8</f>
        <v>0</v>
      </c>
      <c r="AE138" s="34">
        <f t="shared" ref="AE138:AE157" si="140">$AE$8</f>
        <v>0.13873391111111122</v>
      </c>
      <c r="AI138" s="16">
        <v>131</v>
      </c>
      <c r="AJ138" s="84"/>
      <c r="AK138" s="32">
        <f t="shared" si="118"/>
        <v>25.808199999999989</v>
      </c>
      <c r="AL138" s="32">
        <f t="shared" si="119"/>
        <v>7.4500084739969288E-2</v>
      </c>
      <c r="AM138" s="32">
        <f t="shared" si="120"/>
        <v>26.031700254219896</v>
      </c>
      <c r="AN138" s="32">
        <f t="shared" si="121"/>
        <v>25.584699745780082</v>
      </c>
      <c r="AO138" s="32">
        <f t="shared" si="122"/>
        <v>25.957200169479929</v>
      </c>
      <c r="AP138" s="32">
        <f t="shared" si="123"/>
        <v>25.659199830520048</v>
      </c>
      <c r="AQ138" s="32">
        <f t="shared" si="124"/>
        <v>25.882700084739959</v>
      </c>
      <c r="AR138" s="32">
        <f t="shared" si="125"/>
        <v>25.733699915260019</v>
      </c>
      <c r="AS138" s="33"/>
      <c r="AT138" s="34">
        <f t="shared" ref="AT138:AT157" si="141">$AT$8</f>
        <v>6.6666666666666249E-2</v>
      </c>
      <c r="AU138" s="34">
        <f t="shared" ref="AU138:AU157" si="142">$AU$8</f>
        <v>0</v>
      </c>
      <c r="AV138" s="34">
        <f t="shared" ref="AV138:AV157" si="143">$AV$8</f>
        <v>0.21790666666666531</v>
      </c>
      <c r="AZ138" s="16">
        <v>131</v>
      </c>
      <c r="BA138" s="35"/>
      <c r="BB138" s="32">
        <f t="shared" si="126"/>
        <v>25.750800000000005</v>
      </c>
      <c r="BC138" s="32">
        <f t="shared" si="127"/>
        <v>5.7272695206019339E-2</v>
      </c>
      <c r="BD138" s="32">
        <f t="shared" si="128"/>
        <v>25.922618085618062</v>
      </c>
      <c r="BE138" s="32">
        <f t="shared" si="129"/>
        <v>25.578981914381949</v>
      </c>
      <c r="BF138" s="32">
        <f t="shared" si="130"/>
        <v>25.865345390412045</v>
      </c>
      <c r="BG138" s="32">
        <f t="shared" si="131"/>
        <v>25.636254609587965</v>
      </c>
      <c r="BH138" s="32">
        <f t="shared" si="132"/>
        <v>25.808072695206025</v>
      </c>
      <c r="BI138" s="32">
        <f t="shared" si="133"/>
        <v>25.693527304793985</v>
      </c>
      <c r="BJ138" s="33"/>
      <c r="BK138" s="34">
        <f t="shared" ref="BK138:BK157" si="144">$BK$8</f>
        <v>3.6565656565656614E-2</v>
      </c>
      <c r="BL138" s="34">
        <f t="shared" ref="BL138:BL157" si="145">$BL$8</f>
        <v>0</v>
      </c>
      <c r="BM138" s="34">
        <f t="shared" ref="BM138:BM157" si="146">$BM$8</f>
        <v>0.11951850505050521</v>
      </c>
      <c r="BQ138" s="22">
        <v>131</v>
      </c>
      <c r="BR138" s="121" t="str">
        <f>IF(ISBLANK(Datos!B133),"",(ABS(Datos!B132-Datos!B133)))</f>
        <v/>
      </c>
      <c r="BS138" s="121" t="str">
        <f>IF(ISBLANK(Datos!C133),"",(ABS(Datos!C132-Datos!C133)))</f>
        <v/>
      </c>
      <c r="BT138" s="121" t="str">
        <f>IF(ISBLANK(Datos!D133),"",(ABS(Datos!D132-Datos!D133)))</f>
        <v/>
      </c>
      <c r="BU138" s="21" t="str">
        <f>IF(ISBLANK(Datos!E133),"",(ABS(Datos!E132-Datos!E133)))</f>
        <v/>
      </c>
    </row>
    <row r="139" spans="1:73" x14ac:dyDescent="0.3">
      <c r="A139" s="16">
        <v>132</v>
      </c>
      <c r="B139" s="35"/>
      <c r="C139" s="32" t="e">
        <f t="shared" si="102"/>
        <v>#DIV/0!</v>
      </c>
      <c r="D139" s="32" t="e">
        <f t="shared" si="103"/>
        <v>#DIV/0!</v>
      </c>
      <c r="E139" s="32" t="e">
        <f t="shared" si="104"/>
        <v>#DIV/0!</v>
      </c>
      <c r="F139" s="32" t="e">
        <f t="shared" si="105"/>
        <v>#DIV/0!</v>
      </c>
      <c r="G139" s="32" t="e">
        <f t="shared" si="106"/>
        <v>#DIV/0!</v>
      </c>
      <c r="H139" s="32" t="e">
        <f t="shared" si="107"/>
        <v>#DIV/0!</v>
      </c>
      <c r="I139" s="32" t="e">
        <f t="shared" si="108"/>
        <v>#DIV/0!</v>
      </c>
      <c r="J139" s="32" t="e">
        <f t="shared" si="109"/>
        <v>#DIV/0!</v>
      </c>
      <c r="K139" s="33">
        <f t="shared" si="100"/>
        <v>0</v>
      </c>
      <c r="L139" s="34">
        <f t="shared" si="134"/>
        <v>0</v>
      </c>
      <c r="M139" s="33">
        <f t="shared" si="135"/>
        <v>0</v>
      </c>
      <c r="N139" s="34">
        <f t="shared" si="136"/>
        <v>0</v>
      </c>
      <c r="R139" s="16">
        <v>132</v>
      </c>
      <c r="S139" s="35"/>
      <c r="T139" s="32">
        <f t="shared" si="110"/>
        <v>6.3964700000000017</v>
      </c>
      <c r="U139" s="32">
        <f t="shared" si="111"/>
        <v>4.3797618818166538E-2</v>
      </c>
      <c r="V139" s="32">
        <f t="shared" si="112"/>
        <v>6.5278628564545009</v>
      </c>
      <c r="W139" s="32">
        <f t="shared" si="113"/>
        <v>6.2650771435455024</v>
      </c>
      <c r="X139" s="32">
        <f t="shared" si="114"/>
        <v>6.4840652376363348</v>
      </c>
      <c r="Y139" s="32">
        <f t="shared" si="115"/>
        <v>6.3088747623636685</v>
      </c>
      <c r="Z139" s="32">
        <f t="shared" si="116"/>
        <v>6.4402676188181678</v>
      </c>
      <c r="AA139" s="32">
        <f t="shared" si="117"/>
        <v>6.3526723811818355</v>
      </c>
      <c r="AB139" s="33">
        <f t="shared" si="137"/>
        <v>0</v>
      </c>
      <c r="AC139" s="34">
        <f t="shared" si="138"/>
        <v>4.2444444444444479E-2</v>
      </c>
      <c r="AD139" s="33">
        <f t="shared" si="139"/>
        <v>0</v>
      </c>
      <c r="AE139" s="34">
        <f t="shared" si="140"/>
        <v>0.13873391111111122</v>
      </c>
      <c r="AI139" s="16">
        <v>132</v>
      </c>
      <c r="AJ139" s="84"/>
      <c r="AK139" s="32">
        <f t="shared" si="118"/>
        <v>25.808199999999989</v>
      </c>
      <c r="AL139" s="32">
        <f t="shared" si="119"/>
        <v>7.4500084739969288E-2</v>
      </c>
      <c r="AM139" s="32">
        <f t="shared" si="120"/>
        <v>26.031700254219896</v>
      </c>
      <c r="AN139" s="32">
        <f t="shared" si="121"/>
        <v>25.584699745780082</v>
      </c>
      <c r="AO139" s="32">
        <f t="shared" si="122"/>
        <v>25.957200169479929</v>
      </c>
      <c r="AP139" s="32">
        <f t="shared" si="123"/>
        <v>25.659199830520048</v>
      </c>
      <c r="AQ139" s="32">
        <f t="shared" si="124"/>
        <v>25.882700084739959</v>
      </c>
      <c r="AR139" s="32">
        <f t="shared" si="125"/>
        <v>25.733699915260019</v>
      </c>
      <c r="AS139" s="33"/>
      <c r="AT139" s="34">
        <f t="shared" si="141"/>
        <v>6.6666666666666249E-2</v>
      </c>
      <c r="AU139" s="34">
        <f t="shared" si="142"/>
        <v>0</v>
      </c>
      <c r="AV139" s="34">
        <f t="shared" si="143"/>
        <v>0.21790666666666531</v>
      </c>
      <c r="AZ139" s="16">
        <v>132</v>
      </c>
      <c r="BA139" s="35"/>
      <c r="BB139" s="32">
        <f t="shared" si="126"/>
        <v>25.750800000000005</v>
      </c>
      <c r="BC139" s="32">
        <f t="shared" si="127"/>
        <v>5.7272695206019339E-2</v>
      </c>
      <c r="BD139" s="32">
        <f t="shared" si="128"/>
        <v>25.922618085618062</v>
      </c>
      <c r="BE139" s="32">
        <f t="shared" si="129"/>
        <v>25.578981914381949</v>
      </c>
      <c r="BF139" s="32">
        <f t="shared" si="130"/>
        <v>25.865345390412045</v>
      </c>
      <c r="BG139" s="32">
        <f t="shared" si="131"/>
        <v>25.636254609587965</v>
      </c>
      <c r="BH139" s="32">
        <f t="shared" si="132"/>
        <v>25.808072695206025</v>
      </c>
      <c r="BI139" s="32">
        <f t="shared" si="133"/>
        <v>25.693527304793985</v>
      </c>
      <c r="BJ139" s="33"/>
      <c r="BK139" s="34">
        <f t="shared" si="144"/>
        <v>3.6565656565656614E-2</v>
      </c>
      <c r="BL139" s="34">
        <f t="shared" si="145"/>
        <v>0</v>
      </c>
      <c r="BM139" s="34">
        <f t="shared" si="146"/>
        <v>0.11951850505050521</v>
      </c>
      <c r="BQ139" s="22">
        <v>132</v>
      </c>
      <c r="BR139" s="121" t="str">
        <f>IF(ISBLANK(Datos!B134),"",(ABS(Datos!B133-Datos!B134)))</f>
        <v/>
      </c>
      <c r="BS139" s="121" t="str">
        <f>IF(ISBLANK(Datos!C134),"",(ABS(Datos!C133-Datos!C134)))</f>
        <v/>
      </c>
      <c r="BT139" s="121" t="str">
        <f>IF(ISBLANK(Datos!D134),"",(ABS(Datos!D133-Datos!D134)))</f>
        <v/>
      </c>
      <c r="BU139" s="21" t="str">
        <f>IF(ISBLANK(Datos!E134),"",(ABS(Datos!E133-Datos!E134)))</f>
        <v/>
      </c>
    </row>
    <row r="140" spans="1:73" x14ac:dyDescent="0.3">
      <c r="A140" s="16">
        <v>133</v>
      </c>
      <c r="B140" s="35"/>
      <c r="C140" s="32" t="e">
        <f t="shared" si="102"/>
        <v>#DIV/0!</v>
      </c>
      <c r="D140" s="32" t="e">
        <f t="shared" si="103"/>
        <v>#DIV/0!</v>
      </c>
      <c r="E140" s="32" t="e">
        <f t="shared" si="104"/>
        <v>#DIV/0!</v>
      </c>
      <c r="F140" s="32" t="e">
        <f t="shared" si="105"/>
        <v>#DIV/0!</v>
      </c>
      <c r="G140" s="32" t="e">
        <f t="shared" si="106"/>
        <v>#DIV/0!</v>
      </c>
      <c r="H140" s="32" t="e">
        <f t="shared" si="107"/>
        <v>#DIV/0!</v>
      </c>
      <c r="I140" s="32" t="e">
        <f t="shared" si="108"/>
        <v>#DIV/0!</v>
      </c>
      <c r="J140" s="32" t="e">
        <f t="shared" si="109"/>
        <v>#DIV/0!</v>
      </c>
      <c r="K140" s="33">
        <f t="shared" si="100"/>
        <v>0</v>
      </c>
      <c r="L140" s="34">
        <f t="shared" si="134"/>
        <v>0</v>
      </c>
      <c r="M140" s="33">
        <f t="shared" si="135"/>
        <v>0</v>
      </c>
      <c r="N140" s="34">
        <f t="shared" si="136"/>
        <v>0</v>
      </c>
      <c r="R140" s="16">
        <v>133</v>
      </c>
      <c r="S140" s="35"/>
      <c r="T140" s="32">
        <f t="shared" si="110"/>
        <v>6.3964700000000017</v>
      </c>
      <c r="U140" s="32">
        <f t="shared" si="111"/>
        <v>4.3797618818166538E-2</v>
      </c>
      <c r="V140" s="32">
        <f t="shared" si="112"/>
        <v>6.5278628564545009</v>
      </c>
      <c r="W140" s="32">
        <f t="shared" si="113"/>
        <v>6.2650771435455024</v>
      </c>
      <c r="X140" s="32">
        <f t="shared" si="114"/>
        <v>6.4840652376363348</v>
      </c>
      <c r="Y140" s="32">
        <f t="shared" si="115"/>
        <v>6.3088747623636685</v>
      </c>
      <c r="Z140" s="32">
        <f t="shared" si="116"/>
        <v>6.4402676188181678</v>
      </c>
      <c r="AA140" s="32">
        <f t="shared" si="117"/>
        <v>6.3526723811818355</v>
      </c>
      <c r="AB140" s="33">
        <f t="shared" si="137"/>
        <v>0</v>
      </c>
      <c r="AC140" s="34">
        <f t="shared" si="138"/>
        <v>4.2444444444444479E-2</v>
      </c>
      <c r="AD140" s="33">
        <f t="shared" si="139"/>
        <v>0</v>
      </c>
      <c r="AE140" s="34">
        <f t="shared" si="140"/>
        <v>0.13873391111111122</v>
      </c>
      <c r="AI140" s="16">
        <v>133</v>
      </c>
      <c r="AJ140" s="84"/>
      <c r="AK140" s="32">
        <f t="shared" si="118"/>
        <v>25.808199999999989</v>
      </c>
      <c r="AL140" s="32">
        <f t="shared" si="119"/>
        <v>7.4500084739969288E-2</v>
      </c>
      <c r="AM140" s="32">
        <f t="shared" si="120"/>
        <v>26.031700254219896</v>
      </c>
      <c r="AN140" s="32">
        <f t="shared" si="121"/>
        <v>25.584699745780082</v>
      </c>
      <c r="AO140" s="32">
        <f t="shared" si="122"/>
        <v>25.957200169479929</v>
      </c>
      <c r="AP140" s="32">
        <f t="shared" si="123"/>
        <v>25.659199830520048</v>
      </c>
      <c r="AQ140" s="32">
        <f t="shared" si="124"/>
        <v>25.882700084739959</v>
      </c>
      <c r="AR140" s="32">
        <f t="shared" si="125"/>
        <v>25.733699915260019</v>
      </c>
      <c r="AS140" s="33"/>
      <c r="AT140" s="34">
        <f t="shared" si="141"/>
        <v>6.6666666666666249E-2</v>
      </c>
      <c r="AU140" s="34">
        <f t="shared" si="142"/>
        <v>0</v>
      </c>
      <c r="AV140" s="34">
        <f t="shared" si="143"/>
        <v>0.21790666666666531</v>
      </c>
      <c r="AZ140" s="16">
        <v>133</v>
      </c>
      <c r="BA140" s="35"/>
      <c r="BB140" s="32">
        <f t="shared" si="126"/>
        <v>25.750800000000005</v>
      </c>
      <c r="BC140" s="32">
        <f t="shared" si="127"/>
        <v>5.7272695206019339E-2</v>
      </c>
      <c r="BD140" s="32">
        <f t="shared" si="128"/>
        <v>25.922618085618062</v>
      </c>
      <c r="BE140" s="32">
        <f t="shared" si="129"/>
        <v>25.578981914381949</v>
      </c>
      <c r="BF140" s="32">
        <f t="shared" si="130"/>
        <v>25.865345390412045</v>
      </c>
      <c r="BG140" s="32">
        <f t="shared" si="131"/>
        <v>25.636254609587965</v>
      </c>
      <c r="BH140" s="32">
        <f t="shared" si="132"/>
        <v>25.808072695206025</v>
      </c>
      <c r="BI140" s="32">
        <f t="shared" si="133"/>
        <v>25.693527304793985</v>
      </c>
      <c r="BJ140" s="33"/>
      <c r="BK140" s="34">
        <f t="shared" si="144"/>
        <v>3.6565656565656614E-2</v>
      </c>
      <c r="BL140" s="34">
        <f t="shared" si="145"/>
        <v>0</v>
      </c>
      <c r="BM140" s="34">
        <f t="shared" si="146"/>
        <v>0.11951850505050521</v>
      </c>
      <c r="BQ140" s="22">
        <v>133</v>
      </c>
      <c r="BR140" s="121" t="str">
        <f>IF(ISBLANK(Datos!B135),"",(ABS(Datos!B134-Datos!B135)))</f>
        <v/>
      </c>
      <c r="BS140" s="121" t="str">
        <f>IF(ISBLANK(Datos!C135),"",(ABS(Datos!C134-Datos!C135)))</f>
        <v/>
      </c>
      <c r="BT140" s="121" t="str">
        <f>IF(ISBLANK(Datos!D135),"",(ABS(Datos!D134-Datos!D135)))</f>
        <v/>
      </c>
      <c r="BU140" s="21" t="str">
        <f>IF(ISBLANK(Datos!E135),"",(ABS(Datos!E134-Datos!E135)))</f>
        <v/>
      </c>
    </row>
    <row r="141" spans="1:73" x14ac:dyDescent="0.3">
      <c r="A141" s="16">
        <v>134</v>
      </c>
      <c r="B141" s="35"/>
      <c r="C141" s="32" t="e">
        <f t="shared" si="102"/>
        <v>#DIV/0!</v>
      </c>
      <c r="D141" s="32" t="e">
        <f t="shared" si="103"/>
        <v>#DIV/0!</v>
      </c>
      <c r="E141" s="32" t="e">
        <f t="shared" si="104"/>
        <v>#DIV/0!</v>
      </c>
      <c r="F141" s="32" t="e">
        <f t="shared" si="105"/>
        <v>#DIV/0!</v>
      </c>
      <c r="G141" s="32" t="e">
        <f t="shared" si="106"/>
        <v>#DIV/0!</v>
      </c>
      <c r="H141" s="32" t="e">
        <f t="shared" si="107"/>
        <v>#DIV/0!</v>
      </c>
      <c r="I141" s="32" t="e">
        <f t="shared" si="108"/>
        <v>#DIV/0!</v>
      </c>
      <c r="J141" s="32" t="e">
        <f t="shared" si="109"/>
        <v>#DIV/0!</v>
      </c>
      <c r="K141" s="33">
        <f t="shared" si="100"/>
        <v>0</v>
      </c>
      <c r="L141" s="34">
        <f t="shared" si="134"/>
        <v>0</v>
      </c>
      <c r="M141" s="33">
        <f t="shared" si="135"/>
        <v>0</v>
      </c>
      <c r="N141" s="34">
        <f t="shared" si="136"/>
        <v>0</v>
      </c>
      <c r="R141" s="16">
        <v>134</v>
      </c>
      <c r="S141" s="35"/>
      <c r="T141" s="32">
        <f t="shared" si="110"/>
        <v>6.3964700000000017</v>
      </c>
      <c r="U141" s="32">
        <f t="shared" si="111"/>
        <v>4.3797618818166538E-2</v>
      </c>
      <c r="V141" s="32">
        <f t="shared" si="112"/>
        <v>6.5278628564545009</v>
      </c>
      <c r="W141" s="32">
        <f t="shared" si="113"/>
        <v>6.2650771435455024</v>
      </c>
      <c r="X141" s="32">
        <f t="shared" si="114"/>
        <v>6.4840652376363348</v>
      </c>
      <c r="Y141" s="32">
        <f t="shared" si="115"/>
        <v>6.3088747623636685</v>
      </c>
      <c r="Z141" s="32">
        <f t="shared" si="116"/>
        <v>6.4402676188181678</v>
      </c>
      <c r="AA141" s="32">
        <f t="shared" si="117"/>
        <v>6.3526723811818355</v>
      </c>
      <c r="AB141" s="33">
        <f t="shared" si="137"/>
        <v>0</v>
      </c>
      <c r="AC141" s="34">
        <f t="shared" si="138"/>
        <v>4.2444444444444479E-2</v>
      </c>
      <c r="AD141" s="33">
        <f t="shared" si="139"/>
        <v>0</v>
      </c>
      <c r="AE141" s="34">
        <f t="shared" si="140"/>
        <v>0.13873391111111122</v>
      </c>
      <c r="AI141" s="16">
        <v>134</v>
      </c>
      <c r="AJ141" s="84"/>
      <c r="AK141" s="32">
        <f t="shared" si="118"/>
        <v>25.808199999999989</v>
      </c>
      <c r="AL141" s="32">
        <f t="shared" si="119"/>
        <v>7.4500084739969288E-2</v>
      </c>
      <c r="AM141" s="32">
        <f t="shared" si="120"/>
        <v>26.031700254219896</v>
      </c>
      <c r="AN141" s="32">
        <f t="shared" si="121"/>
        <v>25.584699745780082</v>
      </c>
      <c r="AO141" s="32">
        <f t="shared" si="122"/>
        <v>25.957200169479929</v>
      </c>
      <c r="AP141" s="32">
        <f t="shared" si="123"/>
        <v>25.659199830520048</v>
      </c>
      <c r="AQ141" s="32">
        <f t="shared" si="124"/>
        <v>25.882700084739959</v>
      </c>
      <c r="AR141" s="32">
        <f t="shared" si="125"/>
        <v>25.733699915260019</v>
      </c>
      <c r="AS141" s="33"/>
      <c r="AT141" s="34">
        <f t="shared" si="141"/>
        <v>6.6666666666666249E-2</v>
      </c>
      <c r="AU141" s="34">
        <f t="shared" si="142"/>
        <v>0</v>
      </c>
      <c r="AV141" s="34">
        <f t="shared" si="143"/>
        <v>0.21790666666666531</v>
      </c>
      <c r="AZ141" s="16">
        <v>134</v>
      </c>
      <c r="BA141" s="35"/>
      <c r="BB141" s="32">
        <f t="shared" si="126"/>
        <v>25.750800000000005</v>
      </c>
      <c r="BC141" s="32">
        <f t="shared" si="127"/>
        <v>5.7272695206019339E-2</v>
      </c>
      <c r="BD141" s="32">
        <f t="shared" si="128"/>
        <v>25.922618085618062</v>
      </c>
      <c r="BE141" s="32">
        <f t="shared" si="129"/>
        <v>25.578981914381949</v>
      </c>
      <c r="BF141" s="32">
        <f t="shared" si="130"/>
        <v>25.865345390412045</v>
      </c>
      <c r="BG141" s="32">
        <f t="shared" si="131"/>
        <v>25.636254609587965</v>
      </c>
      <c r="BH141" s="32">
        <f t="shared" si="132"/>
        <v>25.808072695206025</v>
      </c>
      <c r="BI141" s="32">
        <f t="shared" si="133"/>
        <v>25.693527304793985</v>
      </c>
      <c r="BJ141" s="33"/>
      <c r="BK141" s="34">
        <f t="shared" si="144"/>
        <v>3.6565656565656614E-2</v>
      </c>
      <c r="BL141" s="34">
        <f t="shared" si="145"/>
        <v>0</v>
      </c>
      <c r="BM141" s="34">
        <f t="shared" si="146"/>
        <v>0.11951850505050521</v>
      </c>
      <c r="BQ141" s="22">
        <v>134</v>
      </c>
      <c r="BR141" s="121" t="str">
        <f>IF(ISBLANK(Datos!B136),"",(ABS(Datos!B135-Datos!B136)))</f>
        <v/>
      </c>
      <c r="BS141" s="121" t="str">
        <f>IF(ISBLANK(Datos!C136),"",(ABS(Datos!C135-Datos!C136)))</f>
        <v/>
      </c>
      <c r="BT141" s="121" t="str">
        <f>IF(ISBLANK(Datos!D136),"",(ABS(Datos!D135-Datos!D136)))</f>
        <v/>
      </c>
      <c r="BU141" s="21" t="str">
        <f>IF(ISBLANK(Datos!E136),"",(ABS(Datos!E135-Datos!E136)))</f>
        <v/>
      </c>
    </row>
    <row r="142" spans="1:73" x14ac:dyDescent="0.3">
      <c r="A142" s="16">
        <v>135</v>
      </c>
      <c r="B142" s="35"/>
      <c r="C142" s="32" t="e">
        <f t="shared" si="102"/>
        <v>#DIV/0!</v>
      </c>
      <c r="D142" s="32" t="e">
        <f t="shared" si="103"/>
        <v>#DIV/0!</v>
      </c>
      <c r="E142" s="32" t="e">
        <f t="shared" si="104"/>
        <v>#DIV/0!</v>
      </c>
      <c r="F142" s="32" t="e">
        <f t="shared" si="105"/>
        <v>#DIV/0!</v>
      </c>
      <c r="G142" s="32" t="e">
        <f t="shared" si="106"/>
        <v>#DIV/0!</v>
      </c>
      <c r="H142" s="32" t="e">
        <f t="shared" si="107"/>
        <v>#DIV/0!</v>
      </c>
      <c r="I142" s="32" t="e">
        <f t="shared" si="108"/>
        <v>#DIV/0!</v>
      </c>
      <c r="J142" s="32" t="e">
        <f t="shared" si="109"/>
        <v>#DIV/0!</v>
      </c>
      <c r="K142" s="33">
        <f t="shared" si="100"/>
        <v>0</v>
      </c>
      <c r="L142" s="34">
        <f t="shared" si="134"/>
        <v>0</v>
      </c>
      <c r="M142" s="33">
        <f t="shared" si="135"/>
        <v>0</v>
      </c>
      <c r="N142" s="34">
        <f t="shared" si="136"/>
        <v>0</v>
      </c>
      <c r="R142" s="16">
        <v>135</v>
      </c>
      <c r="S142" s="35"/>
      <c r="T142" s="32">
        <f t="shared" si="110"/>
        <v>6.3964700000000017</v>
      </c>
      <c r="U142" s="32">
        <f t="shared" si="111"/>
        <v>4.3797618818166538E-2</v>
      </c>
      <c r="V142" s="32">
        <f t="shared" si="112"/>
        <v>6.5278628564545009</v>
      </c>
      <c r="W142" s="32">
        <f t="shared" si="113"/>
        <v>6.2650771435455024</v>
      </c>
      <c r="X142" s="32">
        <f t="shared" si="114"/>
        <v>6.4840652376363348</v>
      </c>
      <c r="Y142" s="32">
        <f t="shared" si="115"/>
        <v>6.3088747623636685</v>
      </c>
      <c r="Z142" s="32">
        <f t="shared" si="116"/>
        <v>6.4402676188181678</v>
      </c>
      <c r="AA142" s="32">
        <f t="shared" si="117"/>
        <v>6.3526723811818355</v>
      </c>
      <c r="AB142" s="33">
        <f t="shared" si="137"/>
        <v>0</v>
      </c>
      <c r="AC142" s="34">
        <f t="shared" si="138"/>
        <v>4.2444444444444479E-2</v>
      </c>
      <c r="AD142" s="33">
        <f t="shared" si="139"/>
        <v>0</v>
      </c>
      <c r="AE142" s="34">
        <f t="shared" si="140"/>
        <v>0.13873391111111122</v>
      </c>
      <c r="AI142" s="16">
        <v>135</v>
      </c>
      <c r="AJ142" s="84"/>
      <c r="AK142" s="32">
        <f t="shared" si="118"/>
        <v>25.808199999999989</v>
      </c>
      <c r="AL142" s="32">
        <f t="shared" si="119"/>
        <v>7.4500084739969288E-2</v>
      </c>
      <c r="AM142" s="32">
        <f t="shared" si="120"/>
        <v>26.031700254219896</v>
      </c>
      <c r="AN142" s="32">
        <f t="shared" si="121"/>
        <v>25.584699745780082</v>
      </c>
      <c r="AO142" s="32">
        <f t="shared" si="122"/>
        <v>25.957200169479929</v>
      </c>
      <c r="AP142" s="32">
        <f t="shared" si="123"/>
        <v>25.659199830520048</v>
      </c>
      <c r="AQ142" s="32">
        <f t="shared" si="124"/>
        <v>25.882700084739959</v>
      </c>
      <c r="AR142" s="32">
        <f t="shared" si="125"/>
        <v>25.733699915260019</v>
      </c>
      <c r="AS142" s="33"/>
      <c r="AT142" s="34">
        <f t="shared" si="141"/>
        <v>6.6666666666666249E-2</v>
      </c>
      <c r="AU142" s="34">
        <f t="shared" si="142"/>
        <v>0</v>
      </c>
      <c r="AV142" s="34">
        <f t="shared" si="143"/>
        <v>0.21790666666666531</v>
      </c>
      <c r="AZ142" s="16">
        <v>135</v>
      </c>
      <c r="BA142" s="35"/>
      <c r="BB142" s="32">
        <f t="shared" si="126"/>
        <v>25.750800000000005</v>
      </c>
      <c r="BC142" s="32">
        <f t="shared" si="127"/>
        <v>5.7272695206019339E-2</v>
      </c>
      <c r="BD142" s="32">
        <f t="shared" si="128"/>
        <v>25.922618085618062</v>
      </c>
      <c r="BE142" s="32">
        <f t="shared" si="129"/>
        <v>25.578981914381949</v>
      </c>
      <c r="BF142" s="32">
        <f t="shared" si="130"/>
        <v>25.865345390412045</v>
      </c>
      <c r="BG142" s="32">
        <f t="shared" si="131"/>
        <v>25.636254609587965</v>
      </c>
      <c r="BH142" s="32">
        <f t="shared" si="132"/>
        <v>25.808072695206025</v>
      </c>
      <c r="BI142" s="32">
        <f t="shared" si="133"/>
        <v>25.693527304793985</v>
      </c>
      <c r="BJ142" s="33"/>
      <c r="BK142" s="34">
        <f t="shared" si="144"/>
        <v>3.6565656565656614E-2</v>
      </c>
      <c r="BL142" s="34">
        <f t="shared" si="145"/>
        <v>0</v>
      </c>
      <c r="BM142" s="34">
        <f t="shared" si="146"/>
        <v>0.11951850505050521</v>
      </c>
      <c r="BQ142" s="22">
        <v>135</v>
      </c>
      <c r="BR142" s="121" t="str">
        <f>IF(ISBLANK(Datos!B137),"",(ABS(Datos!B136-Datos!B137)))</f>
        <v/>
      </c>
      <c r="BS142" s="121" t="str">
        <f>IF(ISBLANK(Datos!C137),"",(ABS(Datos!C136-Datos!C137)))</f>
        <v/>
      </c>
      <c r="BT142" s="121" t="str">
        <f>IF(ISBLANK(Datos!D137),"",(ABS(Datos!D136-Datos!D137)))</f>
        <v/>
      </c>
      <c r="BU142" s="21" t="str">
        <f>IF(ISBLANK(Datos!E137),"",(ABS(Datos!E136-Datos!E137)))</f>
        <v/>
      </c>
    </row>
    <row r="143" spans="1:73" x14ac:dyDescent="0.3">
      <c r="A143" s="16">
        <v>136</v>
      </c>
      <c r="B143" s="35"/>
      <c r="C143" s="32" t="e">
        <f t="shared" si="102"/>
        <v>#DIV/0!</v>
      </c>
      <c r="D143" s="32" t="e">
        <f t="shared" si="103"/>
        <v>#DIV/0!</v>
      </c>
      <c r="E143" s="32" t="e">
        <f t="shared" si="104"/>
        <v>#DIV/0!</v>
      </c>
      <c r="F143" s="32" t="e">
        <f t="shared" si="105"/>
        <v>#DIV/0!</v>
      </c>
      <c r="G143" s="32" t="e">
        <f t="shared" si="106"/>
        <v>#DIV/0!</v>
      </c>
      <c r="H143" s="32" t="e">
        <f t="shared" si="107"/>
        <v>#DIV/0!</v>
      </c>
      <c r="I143" s="32" t="e">
        <f t="shared" si="108"/>
        <v>#DIV/0!</v>
      </c>
      <c r="J143" s="32" t="e">
        <f t="shared" si="109"/>
        <v>#DIV/0!</v>
      </c>
      <c r="K143" s="33">
        <f t="shared" si="100"/>
        <v>0</v>
      </c>
      <c r="L143" s="34">
        <f t="shared" si="134"/>
        <v>0</v>
      </c>
      <c r="M143" s="33">
        <f t="shared" si="135"/>
        <v>0</v>
      </c>
      <c r="N143" s="34">
        <f t="shared" si="136"/>
        <v>0</v>
      </c>
      <c r="R143" s="16">
        <v>136</v>
      </c>
      <c r="S143" s="35"/>
      <c r="T143" s="32">
        <f t="shared" si="110"/>
        <v>6.3964700000000017</v>
      </c>
      <c r="U143" s="32">
        <f t="shared" si="111"/>
        <v>4.3797618818166538E-2</v>
      </c>
      <c r="V143" s="32">
        <f t="shared" si="112"/>
        <v>6.5278628564545009</v>
      </c>
      <c r="W143" s="32">
        <f t="shared" si="113"/>
        <v>6.2650771435455024</v>
      </c>
      <c r="X143" s="32">
        <f t="shared" si="114"/>
        <v>6.4840652376363348</v>
      </c>
      <c r="Y143" s="32">
        <f t="shared" si="115"/>
        <v>6.3088747623636685</v>
      </c>
      <c r="Z143" s="32">
        <f t="shared" si="116"/>
        <v>6.4402676188181678</v>
      </c>
      <c r="AA143" s="32">
        <f t="shared" si="117"/>
        <v>6.3526723811818355</v>
      </c>
      <c r="AB143" s="33">
        <f t="shared" si="137"/>
        <v>0</v>
      </c>
      <c r="AC143" s="34">
        <f t="shared" si="138"/>
        <v>4.2444444444444479E-2</v>
      </c>
      <c r="AD143" s="33">
        <f t="shared" si="139"/>
        <v>0</v>
      </c>
      <c r="AE143" s="34">
        <f t="shared" si="140"/>
        <v>0.13873391111111122</v>
      </c>
      <c r="AI143" s="16">
        <v>136</v>
      </c>
      <c r="AJ143" s="84"/>
      <c r="AK143" s="32">
        <f t="shared" si="118"/>
        <v>25.808199999999989</v>
      </c>
      <c r="AL143" s="32">
        <f t="shared" si="119"/>
        <v>7.4500084739969288E-2</v>
      </c>
      <c r="AM143" s="32">
        <f t="shared" si="120"/>
        <v>26.031700254219896</v>
      </c>
      <c r="AN143" s="32">
        <f t="shared" si="121"/>
        <v>25.584699745780082</v>
      </c>
      <c r="AO143" s="32">
        <f t="shared" si="122"/>
        <v>25.957200169479929</v>
      </c>
      <c r="AP143" s="32">
        <f t="shared" si="123"/>
        <v>25.659199830520048</v>
      </c>
      <c r="AQ143" s="32">
        <f t="shared" si="124"/>
        <v>25.882700084739959</v>
      </c>
      <c r="AR143" s="32">
        <f t="shared" si="125"/>
        <v>25.733699915260019</v>
      </c>
      <c r="AS143" s="33"/>
      <c r="AT143" s="34">
        <f t="shared" si="141"/>
        <v>6.6666666666666249E-2</v>
      </c>
      <c r="AU143" s="34">
        <f t="shared" si="142"/>
        <v>0</v>
      </c>
      <c r="AV143" s="34">
        <f t="shared" si="143"/>
        <v>0.21790666666666531</v>
      </c>
      <c r="AZ143" s="16">
        <v>136</v>
      </c>
      <c r="BA143" s="35"/>
      <c r="BB143" s="32">
        <f t="shared" si="126"/>
        <v>25.750800000000005</v>
      </c>
      <c r="BC143" s="32">
        <f t="shared" si="127"/>
        <v>5.7272695206019339E-2</v>
      </c>
      <c r="BD143" s="32">
        <f t="shared" si="128"/>
        <v>25.922618085618062</v>
      </c>
      <c r="BE143" s="32">
        <f t="shared" si="129"/>
        <v>25.578981914381949</v>
      </c>
      <c r="BF143" s="32">
        <f t="shared" si="130"/>
        <v>25.865345390412045</v>
      </c>
      <c r="BG143" s="32">
        <f t="shared" si="131"/>
        <v>25.636254609587965</v>
      </c>
      <c r="BH143" s="32">
        <f t="shared" si="132"/>
        <v>25.808072695206025</v>
      </c>
      <c r="BI143" s="32">
        <f t="shared" si="133"/>
        <v>25.693527304793985</v>
      </c>
      <c r="BJ143" s="33"/>
      <c r="BK143" s="34">
        <f t="shared" si="144"/>
        <v>3.6565656565656614E-2</v>
      </c>
      <c r="BL143" s="34">
        <f t="shared" si="145"/>
        <v>0</v>
      </c>
      <c r="BM143" s="34">
        <f t="shared" si="146"/>
        <v>0.11951850505050521</v>
      </c>
      <c r="BQ143" s="22">
        <v>136</v>
      </c>
      <c r="BR143" s="121" t="str">
        <f>IF(ISBLANK(Datos!B138),"",(ABS(Datos!B137-Datos!B138)))</f>
        <v/>
      </c>
      <c r="BS143" s="121" t="str">
        <f>IF(ISBLANK(Datos!C138),"",(ABS(Datos!C137-Datos!C138)))</f>
        <v/>
      </c>
      <c r="BT143" s="121" t="str">
        <f>IF(ISBLANK(Datos!D138),"",(ABS(Datos!D137-Datos!D138)))</f>
        <v/>
      </c>
      <c r="BU143" s="21" t="str">
        <f>IF(ISBLANK(Datos!E138),"",(ABS(Datos!E137-Datos!E138)))</f>
        <v/>
      </c>
    </row>
    <row r="144" spans="1:73" x14ac:dyDescent="0.3">
      <c r="A144" s="16">
        <v>137</v>
      </c>
      <c r="B144" s="35"/>
      <c r="C144" s="32" t="e">
        <f t="shared" si="102"/>
        <v>#DIV/0!</v>
      </c>
      <c r="D144" s="32" t="e">
        <f t="shared" si="103"/>
        <v>#DIV/0!</v>
      </c>
      <c r="E144" s="32" t="e">
        <f t="shared" si="104"/>
        <v>#DIV/0!</v>
      </c>
      <c r="F144" s="32" t="e">
        <f t="shared" si="105"/>
        <v>#DIV/0!</v>
      </c>
      <c r="G144" s="32" t="e">
        <f t="shared" si="106"/>
        <v>#DIV/0!</v>
      </c>
      <c r="H144" s="32" t="e">
        <f t="shared" si="107"/>
        <v>#DIV/0!</v>
      </c>
      <c r="I144" s="32" t="e">
        <f t="shared" si="108"/>
        <v>#DIV/0!</v>
      </c>
      <c r="J144" s="32" t="e">
        <f t="shared" si="109"/>
        <v>#DIV/0!</v>
      </c>
      <c r="K144" s="33">
        <f t="shared" si="100"/>
        <v>0</v>
      </c>
      <c r="L144" s="34">
        <f t="shared" si="134"/>
        <v>0</v>
      </c>
      <c r="M144" s="33">
        <f t="shared" si="135"/>
        <v>0</v>
      </c>
      <c r="N144" s="34">
        <f t="shared" si="136"/>
        <v>0</v>
      </c>
      <c r="R144" s="16">
        <v>137</v>
      </c>
      <c r="S144" s="35"/>
      <c r="T144" s="32">
        <f t="shared" si="110"/>
        <v>6.3964700000000017</v>
      </c>
      <c r="U144" s="32">
        <f t="shared" si="111"/>
        <v>4.3797618818166538E-2</v>
      </c>
      <c r="V144" s="32">
        <f t="shared" si="112"/>
        <v>6.5278628564545009</v>
      </c>
      <c r="W144" s="32">
        <f t="shared" si="113"/>
        <v>6.2650771435455024</v>
      </c>
      <c r="X144" s="32">
        <f t="shared" si="114"/>
        <v>6.4840652376363348</v>
      </c>
      <c r="Y144" s="32">
        <f t="shared" si="115"/>
        <v>6.3088747623636685</v>
      </c>
      <c r="Z144" s="32">
        <f t="shared" si="116"/>
        <v>6.4402676188181678</v>
      </c>
      <c r="AA144" s="32">
        <f t="shared" si="117"/>
        <v>6.3526723811818355</v>
      </c>
      <c r="AB144" s="33">
        <f t="shared" si="137"/>
        <v>0</v>
      </c>
      <c r="AC144" s="34">
        <f t="shared" si="138"/>
        <v>4.2444444444444479E-2</v>
      </c>
      <c r="AD144" s="33">
        <f t="shared" si="139"/>
        <v>0</v>
      </c>
      <c r="AE144" s="34">
        <f t="shared" si="140"/>
        <v>0.13873391111111122</v>
      </c>
      <c r="AI144" s="16">
        <v>137</v>
      </c>
      <c r="AJ144" s="84"/>
      <c r="AK144" s="32">
        <f t="shared" si="118"/>
        <v>25.808199999999989</v>
      </c>
      <c r="AL144" s="32">
        <f t="shared" si="119"/>
        <v>7.4500084739969288E-2</v>
      </c>
      <c r="AM144" s="32">
        <f t="shared" si="120"/>
        <v>26.031700254219896</v>
      </c>
      <c r="AN144" s="32">
        <f t="shared" si="121"/>
        <v>25.584699745780082</v>
      </c>
      <c r="AO144" s="32">
        <f t="shared" si="122"/>
        <v>25.957200169479929</v>
      </c>
      <c r="AP144" s="32">
        <f t="shared" si="123"/>
        <v>25.659199830520048</v>
      </c>
      <c r="AQ144" s="32">
        <f t="shared" si="124"/>
        <v>25.882700084739959</v>
      </c>
      <c r="AR144" s="32">
        <f t="shared" si="125"/>
        <v>25.733699915260019</v>
      </c>
      <c r="AS144" s="33"/>
      <c r="AT144" s="34">
        <f t="shared" si="141"/>
        <v>6.6666666666666249E-2</v>
      </c>
      <c r="AU144" s="34">
        <f t="shared" si="142"/>
        <v>0</v>
      </c>
      <c r="AV144" s="34">
        <f t="shared" si="143"/>
        <v>0.21790666666666531</v>
      </c>
      <c r="AZ144" s="16">
        <v>137</v>
      </c>
      <c r="BA144" s="35"/>
      <c r="BB144" s="32">
        <f t="shared" si="126"/>
        <v>25.750800000000005</v>
      </c>
      <c r="BC144" s="32">
        <f t="shared" si="127"/>
        <v>5.7272695206019339E-2</v>
      </c>
      <c r="BD144" s="32">
        <f t="shared" si="128"/>
        <v>25.922618085618062</v>
      </c>
      <c r="BE144" s="32">
        <f t="shared" si="129"/>
        <v>25.578981914381949</v>
      </c>
      <c r="BF144" s="32">
        <f t="shared" si="130"/>
        <v>25.865345390412045</v>
      </c>
      <c r="BG144" s="32">
        <f t="shared" si="131"/>
        <v>25.636254609587965</v>
      </c>
      <c r="BH144" s="32">
        <f t="shared" si="132"/>
        <v>25.808072695206025</v>
      </c>
      <c r="BI144" s="32">
        <f t="shared" si="133"/>
        <v>25.693527304793985</v>
      </c>
      <c r="BJ144" s="33"/>
      <c r="BK144" s="34">
        <f t="shared" si="144"/>
        <v>3.6565656565656614E-2</v>
      </c>
      <c r="BL144" s="34">
        <f t="shared" si="145"/>
        <v>0</v>
      </c>
      <c r="BM144" s="34">
        <f t="shared" si="146"/>
        <v>0.11951850505050521</v>
      </c>
      <c r="BQ144" s="22">
        <v>137</v>
      </c>
      <c r="BR144" s="121" t="str">
        <f>IF(ISBLANK(Datos!B139),"",(ABS(Datos!B138-Datos!B139)))</f>
        <v/>
      </c>
      <c r="BS144" s="121" t="str">
        <f>IF(ISBLANK(Datos!C139),"",(ABS(Datos!C138-Datos!C139)))</f>
        <v/>
      </c>
      <c r="BT144" s="121" t="str">
        <f>IF(ISBLANK(Datos!D139),"",(ABS(Datos!D138-Datos!D139)))</f>
        <v/>
      </c>
      <c r="BU144" s="21" t="str">
        <f>IF(ISBLANK(Datos!E139),"",(ABS(Datos!E138-Datos!E139)))</f>
        <v/>
      </c>
    </row>
    <row r="145" spans="1:73" x14ac:dyDescent="0.3">
      <c r="A145" s="16">
        <v>138</v>
      </c>
      <c r="B145" s="35"/>
      <c r="C145" s="32" t="e">
        <f t="shared" si="102"/>
        <v>#DIV/0!</v>
      </c>
      <c r="D145" s="32" t="e">
        <f t="shared" si="103"/>
        <v>#DIV/0!</v>
      </c>
      <c r="E145" s="32" t="e">
        <f t="shared" si="104"/>
        <v>#DIV/0!</v>
      </c>
      <c r="F145" s="32" t="e">
        <f t="shared" si="105"/>
        <v>#DIV/0!</v>
      </c>
      <c r="G145" s="32" t="e">
        <f t="shared" si="106"/>
        <v>#DIV/0!</v>
      </c>
      <c r="H145" s="32" t="e">
        <f t="shared" si="107"/>
        <v>#DIV/0!</v>
      </c>
      <c r="I145" s="32" t="e">
        <f t="shared" si="108"/>
        <v>#DIV/0!</v>
      </c>
      <c r="J145" s="32" t="e">
        <f t="shared" si="109"/>
        <v>#DIV/0!</v>
      </c>
      <c r="K145" s="33">
        <f t="shared" si="100"/>
        <v>0</v>
      </c>
      <c r="L145" s="34">
        <f t="shared" si="134"/>
        <v>0</v>
      </c>
      <c r="M145" s="33">
        <f t="shared" si="135"/>
        <v>0</v>
      </c>
      <c r="N145" s="34">
        <f t="shared" si="136"/>
        <v>0</v>
      </c>
      <c r="R145" s="16">
        <v>138</v>
      </c>
      <c r="S145" s="35"/>
      <c r="T145" s="32">
        <f t="shared" si="110"/>
        <v>6.3964700000000017</v>
      </c>
      <c r="U145" s="32">
        <f t="shared" si="111"/>
        <v>4.3797618818166538E-2</v>
      </c>
      <c r="V145" s="32">
        <f t="shared" si="112"/>
        <v>6.5278628564545009</v>
      </c>
      <c r="W145" s="32">
        <f t="shared" si="113"/>
        <v>6.2650771435455024</v>
      </c>
      <c r="X145" s="32">
        <f t="shared" si="114"/>
        <v>6.4840652376363348</v>
      </c>
      <c r="Y145" s="32">
        <f t="shared" si="115"/>
        <v>6.3088747623636685</v>
      </c>
      <c r="Z145" s="32">
        <f t="shared" si="116"/>
        <v>6.4402676188181678</v>
      </c>
      <c r="AA145" s="32">
        <f t="shared" si="117"/>
        <v>6.3526723811818355</v>
      </c>
      <c r="AB145" s="33">
        <f t="shared" si="137"/>
        <v>0</v>
      </c>
      <c r="AC145" s="34">
        <f t="shared" si="138"/>
        <v>4.2444444444444479E-2</v>
      </c>
      <c r="AD145" s="33">
        <f t="shared" si="139"/>
        <v>0</v>
      </c>
      <c r="AE145" s="34">
        <f t="shared" si="140"/>
        <v>0.13873391111111122</v>
      </c>
      <c r="AI145" s="16">
        <v>138</v>
      </c>
      <c r="AJ145" s="84"/>
      <c r="AK145" s="32">
        <f t="shared" si="118"/>
        <v>25.808199999999989</v>
      </c>
      <c r="AL145" s="32">
        <f t="shared" si="119"/>
        <v>7.4500084739969288E-2</v>
      </c>
      <c r="AM145" s="32">
        <f t="shared" si="120"/>
        <v>26.031700254219896</v>
      </c>
      <c r="AN145" s="32">
        <f t="shared" si="121"/>
        <v>25.584699745780082</v>
      </c>
      <c r="AO145" s="32">
        <f t="shared" si="122"/>
        <v>25.957200169479929</v>
      </c>
      <c r="AP145" s="32">
        <f t="shared" si="123"/>
        <v>25.659199830520048</v>
      </c>
      <c r="AQ145" s="32">
        <f t="shared" si="124"/>
        <v>25.882700084739959</v>
      </c>
      <c r="AR145" s="32">
        <f t="shared" si="125"/>
        <v>25.733699915260019</v>
      </c>
      <c r="AS145" s="33"/>
      <c r="AT145" s="34">
        <f t="shared" si="141"/>
        <v>6.6666666666666249E-2</v>
      </c>
      <c r="AU145" s="34">
        <f t="shared" si="142"/>
        <v>0</v>
      </c>
      <c r="AV145" s="34">
        <f t="shared" si="143"/>
        <v>0.21790666666666531</v>
      </c>
      <c r="AZ145" s="16">
        <v>138</v>
      </c>
      <c r="BA145" s="35"/>
      <c r="BB145" s="32">
        <f t="shared" si="126"/>
        <v>25.750800000000005</v>
      </c>
      <c r="BC145" s="32">
        <f t="shared" si="127"/>
        <v>5.7272695206019339E-2</v>
      </c>
      <c r="BD145" s="32">
        <f t="shared" si="128"/>
        <v>25.922618085618062</v>
      </c>
      <c r="BE145" s="32">
        <f t="shared" si="129"/>
        <v>25.578981914381949</v>
      </c>
      <c r="BF145" s="32">
        <f t="shared" si="130"/>
        <v>25.865345390412045</v>
      </c>
      <c r="BG145" s="32">
        <f t="shared" si="131"/>
        <v>25.636254609587965</v>
      </c>
      <c r="BH145" s="32">
        <f t="shared" si="132"/>
        <v>25.808072695206025</v>
      </c>
      <c r="BI145" s="32">
        <f t="shared" si="133"/>
        <v>25.693527304793985</v>
      </c>
      <c r="BJ145" s="33"/>
      <c r="BK145" s="34">
        <f t="shared" si="144"/>
        <v>3.6565656565656614E-2</v>
      </c>
      <c r="BL145" s="34">
        <f t="shared" si="145"/>
        <v>0</v>
      </c>
      <c r="BM145" s="34">
        <f t="shared" si="146"/>
        <v>0.11951850505050521</v>
      </c>
      <c r="BQ145" s="22">
        <v>138</v>
      </c>
      <c r="BR145" s="121" t="str">
        <f>IF(ISBLANK(Datos!B140),"",(ABS(Datos!B139-Datos!B140)))</f>
        <v/>
      </c>
      <c r="BS145" s="121" t="str">
        <f>IF(ISBLANK(Datos!C140),"",(ABS(Datos!C139-Datos!C140)))</f>
        <v/>
      </c>
      <c r="BT145" s="121" t="str">
        <f>IF(ISBLANK(Datos!D140),"",(ABS(Datos!D139-Datos!D140)))</f>
        <v/>
      </c>
      <c r="BU145" s="21" t="str">
        <f>IF(ISBLANK(Datos!E140),"",(ABS(Datos!E139-Datos!E140)))</f>
        <v/>
      </c>
    </row>
    <row r="146" spans="1:73" x14ac:dyDescent="0.3">
      <c r="A146" s="16">
        <v>139</v>
      </c>
      <c r="B146" s="35"/>
      <c r="C146" s="32" t="e">
        <f t="shared" si="102"/>
        <v>#DIV/0!</v>
      </c>
      <c r="D146" s="32" t="e">
        <f t="shared" si="103"/>
        <v>#DIV/0!</v>
      </c>
      <c r="E146" s="32" t="e">
        <f t="shared" si="104"/>
        <v>#DIV/0!</v>
      </c>
      <c r="F146" s="32" t="e">
        <f t="shared" si="105"/>
        <v>#DIV/0!</v>
      </c>
      <c r="G146" s="32" t="e">
        <f t="shared" si="106"/>
        <v>#DIV/0!</v>
      </c>
      <c r="H146" s="32" t="e">
        <f t="shared" si="107"/>
        <v>#DIV/0!</v>
      </c>
      <c r="I146" s="32" t="e">
        <f t="shared" si="108"/>
        <v>#DIV/0!</v>
      </c>
      <c r="J146" s="32" t="e">
        <f t="shared" si="109"/>
        <v>#DIV/0!</v>
      </c>
      <c r="K146" s="33">
        <f t="shared" si="100"/>
        <v>0</v>
      </c>
      <c r="L146" s="34">
        <f t="shared" si="134"/>
        <v>0</v>
      </c>
      <c r="M146" s="33">
        <f t="shared" si="135"/>
        <v>0</v>
      </c>
      <c r="N146" s="34">
        <f t="shared" si="136"/>
        <v>0</v>
      </c>
      <c r="R146" s="16">
        <v>139</v>
      </c>
      <c r="S146" s="35"/>
      <c r="T146" s="32">
        <f t="shared" si="110"/>
        <v>6.3964700000000017</v>
      </c>
      <c r="U146" s="32">
        <f t="shared" si="111"/>
        <v>4.3797618818166538E-2</v>
      </c>
      <c r="V146" s="32">
        <f t="shared" si="112"/>
        <v>6.5278628564545009</v>
      </c>
      <c r="W146" s="32">
        <f t="shared" si="113"/>
        <v>6.2650771435455024</v>
      </c>
      <c r="X146" s="32">
        <f t="shared" si="114"/>
        <v>6.4840652376363348</v>
      </c>
      <c r="Y146" s="32">
        <f t="shared" si="115"/>
        <v>6.3088747623636685</v>
      </c>
      <c r="Z146" s="32">
        <f t="shared" si="116"/>
        <v>6.4402676188181678</v>
      </c>
      <c r="AA146" s="32">
        <f t="shared" si="117"/>
        <v>6.3526723811818355</v>
      </c>
      <c r="AB146" s="33">
        <f t="shared" si="137"/>
        <v>0</v>
      </c>
      <c r="AC146" s="34">
        <f t="shared" si="138"/>
        <v>4.2444444444444479E-2</v>
      </c>
      <c r="AD146" s="33">
        <f t="shared" si="139"/>
        <v>0</v>
      </c>
      <c r="AE146" s="34">
        <f t="shared" si="140"/>
        <v>0.13873391111111122</v>
      </c>
      <c r="AI146" s="16">
        <v>139</v>
      </c>
      <c r="AJ146" s="84"/>
      <c r="AK146" s="32">
        <f t="shared" si="118"/>
        <v>25.808199999999989</v>
      </c>
      <c r="AL146" s="32">
        <f t="shared" si="119"/>
        <v>7.4500084739969288E-2</v>
      </c>
      <c r="AM146" s="32">
        <f t="shared" si="120"/>
        <v>26.031700254219896</v>
      </c>
      <c r="AN146" s="32">
        <f t="shared" si="121"/>
        <v>25.584699745780082</v>
      </c>
      <c r="AO146" s="32">
        <f t="shared" si="122"/>
        <v>25.957200169479929</v>
      </c>
      <c r="AP146" s="32">
        <f t="shared" si="123"/>
        <v>25.659199830520048</v>
      </c>
      <c r="AQ146" s="32">
        <f t="shared" si="124"/>
        <v>25.882700084739959</v>
      </c>
      <c r="AR146" s="32">
        <f t="shared" si="125"/>
        <v>25.733699915260019</v>
      </c>
      <c r="AS146" s="33"/>
      <c r="AT146" s="34">
        <f t="shared" si="141"/>
        <v>6.6666666666666249E-2</v>
      </c>
      <c r="AU146" s="34">
        <f t="shared" si="142"/>
        <v>0</v>
      </c>
      <c r="AV146" s="34">
        <f t="shared" si="143"/>
        <v>0.21790666666666531</v>
      </c>
      <c r="AZ146" s="16">
        <v>139</v>
      </c>
      <c r="BA146" s="35"/>
      <c r="BB146" s="32">
        <f t="shared" si="126"/>
        <v>25.750800000000005</v>
      </c>
      <c r="BC146" s="32">
        <f t="shared" si="127"/>
        <v>5.7272695206019339E-2</v>
      </c>
      <c r="BD146" s="32">
        <f t="shared" si="128"/>
        <v>25.922618085618062</v>
      </c>
      <c r="BE146" s="32">
        <f t="shared" si="129"/>
        <v>25.578981914381949</v>
      </c>
      <c r="BF146" s="32">
        <f t="shared" si="130"/>
        <v>25.865345390412045</v>
      </c>
      <c r="BG146" s="32">
        <f t="shared" si="131"/>
        <v>25.636254609587965</v>
      </c>
      <c r="BH146" s="32">
        <f t="shared" si="132"/>
        <v>25.808072695206025</v>
      </c>
      <c r="BI146" s="32">
        <f t="shared" si="133"/>
        <v>25.693527304793985</v>
      </c>
      <c r="BJ146" s="33"/>
      <c r="BK146" s="34">
        <f t="shared" si="144"/>
        <v>3.6565656565656614E-2</v>
      </c>
      <c r="BL146" s="34">
        <f t="shared" si="145"/>
        <v>0</v>
      </c>
      <c r="BM146" s="34">
        <f t="shared" si="146"/>
        <v>0.11951850505050521</v>
      </c>
      <c r="BQ146" s="22">
        <v>139</v>
      </c>
      <c r="BR146" s="121" t="str">
        <f>IF(ISBLANK(Datos!B141),"",(ABS(Datos!B140-Datos!B141)))</f>
        <v/>
      </c>
      <c r="BS146" s="121" t="str">
        <f>IF(ISBLANK(Datos!C141),"",(ABS(Datos!C140-Datos!C141)))</f>
        <v/>
      </c>
      <c r="BT146" s="121" t="str">
        <f>IF(ISBLANK(Datos!D141),"",(ABS(Datos!D140-Datos!D141)))</f>
        <v/>
      </c>
      <c r="BU146" s="21" t="str">
        <f>IF(ISBLANK(Datos!E141),"",(ABS(Datos!E140-Datos!E141)))</f>
        <v/>
      </c>
    </row>
    <row r="147" spans="1:73" x14ac:dyDescent="0.3">
      <c r="A147" s="16">
        <v>140</v>
      </c>
      <c r="B147" s="35"/>
      <c r="C147" s="32" t="e">
        <f t="shared" si="102"/>
        <v>#DIV/0!</v>
      </c>
      <c r="D147" s="32" t="e">
        <f t="shared" si="103"/>
        <v>#DIV/0!</v>
      </c>
      <c r="E147" s="32" t="e">
        <f t="shared" si="104"/>
        <v>#DIV/0!</v>
      </c>
      <c r="F147" s="32" t="e">
        <f t="shared" si="105"/>
        <v>#DIV/0!</v>
      </c>
      <c r="G147" s="32" t="e">
        <f t="shared" si="106"/>
        <v>#DIV/0!</v>
      </c>
      <c r="H147" s="32" t="e">
        <f t="shared" si="107"/>
        <v>#DIV/0!</v>
      </c>
      <c r="I147" s="32" t="e">
        <f t="shared" si="108"/>
        <v>#DIV/0!</v>
      </c>
      <c r="J147" s="32" t="e">
        <f t="shared" si="109"/>
        <v>#DIV/0!</v>
      </c>
      <c r="K147" s="33">
        <f t="shared" si="100"/>
        <v>0</v>
      </c>
      <c r="L147" s="34">
        <f t="shared" si="134"/>
        <v>0</v>
      </c>
      <c r="M147" s="33">
        <f t="shared" si="135"/>
        <v>0</v>
      </c>
      <c r="N147" s="34">
        <f t="shared" si="136"/>
        <v>0</v>
      </c>
      <c r="R147" s="16">
        <v>140</v>
      </c>
      <c r="S147" s="35"/>
      <c r="T147" s="32">
        <f t="shared" si="110"/>
        <v>6.3964700000000017</v>
      </c>
      <c r="U147" s="32">
        <f t="shared" si="111"/>
        <v>4.3797618818166538E-2</v>
      </c>
      <c r="V147" s="32">
        <f t="shared" si="112"/>
        <v>6.5278628564545009</v>
      </c>
      <c r="W147" s="32">
        <f t="shared" si="113"/>
        <v>6.2650771435455024</v>
      </c>
      <c r="X147" s="32">
        <f t="shared" si="114"/>
        <v>6.4840652376363348</v>
      </c>
      <c r="Y147" s="32">
        <f t="shared" si="115"/>
        <v>6.3088747623636685</v>
      </c>
      <c r="Z147" s="32">
        <f t="shared" si="116"/>
        <v>6.4402676188181678</v>
      </c>
      <c r="AA147" s="32">
        <f t="shared" si="117"/>
        <v>6.3526723811818355</v>
      </c>
      <c r="AB147" s="33">
        <f t="shared" si="137"/>
        <v>0</v>
      </c>
      <c r="AC147" s="34">
        <f t="shared" si="138"/>
        <v>4.2444444444444479E-2</v>
      </c>
      <c r="AD147" s="33">
        <f t="shared" si="139"/>
        <v>0</v>
      </c>
      <c r="AE147" s="34">
        <f t="shared" si="140"/>
        <v>0.13873391111111122</v>
      </c>
      <c r="AI147" s="16">
        <v>140</v>
      </c>
      <c r="AJ147" s="84"/>
      <c r="AK147" s="32">
        <f t="shared" si="118"/>
        <v>25.808199999999989</v>
      </c>
      <c r="AL147" s="32">
        <f t="shared" si="119"/>
        <v>7.4500084739969288E-2</v>
      </c>
      <c r="AM147" s="32">
        <f t="shared" si="120"/>
        <v>26.031700254219896</v>
      </c>
      <c r="AN147" s="32">
        <f t="shared" si="121"/>
        <v>25.584699745780082</v>
      </c>
      <c r="AO147" s="32">
        <f t="shared" si="122"/>
        <v>25.957200169479929</v>
      </c>
      <c r="AP147" s="32">
        <f t="shared" si="123"/>
        <v>25.659199830520048</v>
      </c>
      <c r="AQ147" s="32">
        <f t="shared" si="124"/>
        <v>25.882700084739959</v>
      </c>
      <c r="AR147" s="32">
        <f t="shared" si="125"/>
        <v>25.733699915260019</v>
      </c>
      <c r="AS147" s="33"/>
      <c r="AT147" s="34">
        <f t="shared" si="141"/>
        <v>6.6666666666666249E-2</v>
      </c>
      <c r="AU147" s="34">
        <f t="shared" si="142"/>
        <v>0</v>
      </c>
      <c r="AV147" s="34">
        <f t="shared" si="143"/>
        <v>0.21790666666666531</v>
      </c>
      <c r="AZ147" s="16">
        <v>140</v>
      </c>
      <c r="BA147" s="35"/>
      <c r="BB147" s="32">
        <f t="shared" si="126"/>
        <v>25.750800000000005</v>
      </c>
      <c r="BC147" s="32">
        <f t="shared" si="127"/>
        <v>5.7272695206019339E-2</v>
      </c>
      <c r="BD147" s="32">
        <f t="shared" si="128"/>
        <v>25.922618085618062</v>
      </c>
      <c r="BE147" s="32">
        <f t="shared" si="129"/>
        <v>25.578981914381949</v>
      </c>
      <c r="BF147" s="32">
        <f t="shared" si="130"/>
        <v>25.865345390412045</v>
      </c>
      <c r="BG147" s="32">
        <f t="shared" si="131"/>
        <v>25.636254609587965</v>
      </c>
      <c r="BH147" s="32">
        <f t="shared" si="132"/>
        <v>25.808072695206025</v>
      </c>
      <c r="BI147" s="32">
        <f t="shared" si="133"/>
        <v>25.693527304793985</v>
      </c>
      <c r="BJ147" s="33"/>
      <c r="BK147" s="34">
        <f t="shared" si="144"/>
        <v>3.6565656565656614E-2</v>
      </c>
      <c r="BL147" s="34">
        <f t="shared" si="145"/>
        <v>0</v>
      </c>
      <c r="BM147" s="34">
        <f t="shared" si="146"/>
        <v>0.11951850505050521</v>
      </c>
      <c r="BQ147" s="22">
        <v>140</v>
      </c>
      <c r="BR147" s="121" t="str">
        <f>IF(ISBLANK(Datos!B142),"",(ABS(Datos!B141-Datos!B142)))</f>
        <v/>
      </c>
      <c r="BS147" s="121" t="str">
        <f>IF(ISBLANK(Datos!C142),"",(ABS(Datos!C141-Datos!C142)))</f>
        <v/>
      </c>
      <c r="BT147" s="121" t="str">
        <f>IF(ISBLANK(Datos!D142),"",(ABS(Datos!D141-Datos!D142)))</f>
        <v/>
      </c>
      <c r="BU147" s="21" t="str">
        <f>IF(ISBLANK(Datos!E142),"",(ABS(Datos!E141-Datos!E142)))</f>
        <v/>
      </c>
    </row>
    <row r="148" spans="1:73" x14ac:dyDescent="0.3">
      <c r="A148" s="16">
        <v>141</v>
      </c>
      <c r="B148" s="35"/>
      <c r="C148" s="32" t="e">
        <f t="shared" si="102"/>
        <v>#DIV/0!</v>
      </c>
      <c r="D148" s="32" t="e">
        <f t="shared" si="103"/>
        <v>#DIV/0!</v>
      </c>
      <c r="E148" s="32" t="e">
        <f t="shared" si="104"/>
        <v>#DIV/0!</v>
      </c>
      <c r="F148" s="32" t="e">
        <f t="shared" si="105"/>
        <v>#DIV/0!</v>
      </c>
      <c r="G148" s="32" t="e">
        <f t="shared" si="106"/>
        <v>#DIV/0!</v>
      </c>
      <c r="H148" s="32" t="e">
        <f t="shared" si="107"/>
        <v>#DIV/0!</v>
      </c>
      <c r="I148" s="32" t="e">
        <f t="shared" si="108"/>
        <v>#DIV/0!</v>
      </c>
      <c r="J148" s="32" t="e">
        <f t="shared" si="109"/>
        <v>#DIV/0!</v>
      </c>
      <c r="K148" s="33">
        <f t="shared" si="100"/>
        <v>0</v>
      </c>
      <c r="L148" s="34">
        <f t="shared" si="134"/>
        <v>0</v>
      </c>
      <c r="M148" s="33">
        <f t="shared" si="135"/>
        <v>0</v>
      </c>
      <c r="N148" s="34">
        <f t="shared" si="136"/>
        <v>0</v>
      </c>
      <c r="R148" s="16">
        <v>141</v>
      </c>
      <c r="S148" s="35"/>
      <c r="T148" s="32">
        <f t="shared" si="110"/>
        <v>6.3964700000000017</v>
      </c>
      <c r="U148" s="32">
        <f t="shared" si="111"/>
        <v>4.3797618818166538E-2</v>
      </c>
      <c r="V148" s="32">
        <f t="shared" si="112"/>
        <v>6.5278628564545009</v>
      </c>
      <c r="W148" s="32">
        <f t="shared" si="113"/>
        <v>6.2650771435455024</v>
      </c>
      <c r="X148" s="32">
        <f t="shared" si="114"/>
        <v>6.4840652376363348</v>
      </c>
      <c r="Y148" s="32">
        <f t="shared" si="115"/>
        <v>6.3088747623636685</v>
      </c>
      <c r="Z148" s="32">
        <f t="shared" si="116"/>
        <v>6.4402676188181678</v>
      </c>
      <c r="AA148" s="32">
        <f t="shared" si="117"/>
        <v>6.3526723811818355</v>
      </c>
      <c r="AB148" s="33">
        <f t="shared" si="137"/>
        <v>0</v>
      </c>
      <c r="AC148" s="34">
        <f t="shared" si="138"/>
        <v>4.2444444444444479E-2</v>
      </c>
      <c r="AD148" s="33">
        <f t="shared" si="139"/>
        <v>0</v>
      </c>
      <c r="AE148" s="34">
        <f t="shared" si="140"/>
        <v>0.13873391111111122</v>
      </c>
      <c r="AI148" s="16">
        <v>141</v>
      </c>
      <c r="AJ148" s="84"/>
      <c r="AK148" s="32">
        <f t="shared" si="118"/>
        <v>25.808199999999989</v>
      </c>
      <c r="AL148" s="32">
        <f t="shared" si="119"/>
        <v>7.4500084739969288E-2</v>
      </c>
      <c r="AM148" s="32">
        <f t="shared" si="120"/>
        <v>26.031700254219896</v>
      </c>
      <c r="AN148" s="32">
        <f t="shared" si="121"/>
        <v>25.584699745780082</v>
      </c>
      <c r="AO148" s="32">
        <f t="shared" si="122"/>
        <v>25.957200169479929</v>
      </c>
      <c r="AP148" s="32">
        <f t="shared" si="123"/>
        <v>25.659199830520048</v>
      </c>
      <c r="AQ148" s="32">
        <f t="shared" si="124"/>
        <v>25.882700084739959</v>
      </c>
      <c r="AR148" s="32">
        <f t="shared" si="125"/>
        <v>25.733699915260019</v>
      </c>
      <c r="AS148" s="33"/>
      <c r="AT148" s="34">
        <f t="shared" si="141"/>
        <v>6.6666666666666249E-2</v>
      </c>
      <c r="AU148" s="34">
        <f t="shared" si="142"/>
        <v>0</v>
      </c>
      <c r="AV148" s="34">
        <f t="shared" si="143"/>
        <v>0.21790666666666531</v>
      </c>
      <c r="AZ148" s="16">
        <v>141</v>
      </c>
      <c r="BA148" s="35"/>
      <c r="BB148" s="32">
        <f t="shared" si="126"/>
        <v>25.750800000000005</v>
      </c>
      <c r="BC148" s="32">
        <f t="shared" si="127"/>
        <v>5.7272695206019339E-2</v>
      </c>
      <c r="BD148" s="32">
        <f t="shared" si="128"/>
        <v>25.922618085618062</v>
      </c>
      <c r="BE148" s="32">
        <f t="shared" si="129"/>
        <v>25.578981914381949</v>
      </c>
      <c r="BF148" s="32">
        <f t="shared" si="130"/>
        <v>25.865345390412045</v>
      </c>
      <c r="BG148" s="32">
        <f t="shared" si="131"/>
        <v>25.636254609587965</v>
      </c>
      <c r="BH148" s="32">
        <f t="shared" si="132"/>
        <v>25.808072695206025</v>
      </c>
      <c r="BI148" s="32">
        <f t="shared" si="133"/>
        <v>25.693527304793985</v>
      </c>
      <c r="BJ148" s="33"/>
      <c r="BK148" s="34">
        <f t="shared" si="144"/>
        <v>3.6565656565656614E-2</v>
      </c>
      <c r="BL148" s="34">
        <f t="shared" si="145"/>
        <v>0</v>
      </c>
      <c r="BM148" s="34">
        <f t="shared" si="146"/>
        <v>0.11951850505050521</v>
      </c>
      <c r="BQ148" s="22">
        <v>141</v>
      </c>
      <c r="BR148" s="121" t="str">
        <f>IF(ISBLANK(Datos!B143),"",(ABS(Datos!B142-Datos!B143)))</f>
        <v/>
      </c>
      <c r="BS148" s="121" t="str">
        <f>IF(ISBLANK(Datos!C143),"",(ABS(Datos!C142-Datos!C143)))</f>
        <v/>
      </c>
      <c r="BT148" s="121" t="str">
        <f>IF(ISBLANK(Datos!D143),"",(ABS(Datos!D142-Datos!D143)))</f>
        <v/>
      </c>
      <c r="BU148" s="21" t="str">
        <f>IF(ISBLANK(Datos!E143),"",(ABS(Datos!E142-Datos!E143)))</f>
        <v/>
      </c>
    </row>
    <row r="149" spans="1:73" x14ac:dyDescent="0.3">
      <c r="A149" s="16">
        <v>142</v>
      </c>
      <c r="B149" s="35"/>
      <c r="C149" s="32" t="e">
        <f t="shared" si="102"/>
        <v>#DIV/0!</v>
      </c>
      <c r="D149" s="32" t="e">
        <f t="shared" si="103"/>
        <v>#DIV/0!</v>
      </c>
      <c r="E149" s="32" t="e">
        <f t="shared" si="104"/>
        <v>#DIV/0!</v>
      </c>
      <c r="F149" s="32" t="e">
        <f t="shared" si="105"/>
        <v>#DIV/0!</v>
      </c>
      <c r="G149" s="32" t="e">
        <f t="shared" si="106"/>
        <v>#DIV/0!</v>
      </c>
      <c r="H149" s="32" t="e">
        <f t="shared" si="107"/>
        <v>#DIV/0!</v>
      </c>
      <c r="I149" s="32" t="e">
        <f t="shared" si="108"/>
        <v>#DIV/0!</v>
      </c>
      <c r="J149" s="32" t="e">
        <f t="shared" si="109"/>
        <v>#DIV/0!</v>
      </c>
      <c r="K149" s="33">
        <f t="shared" si="100"/>
        <v>0</v>
      </c>
      <c r="L149" s="34">
        <f t="shared" si="134"/>
        <v>0</v>
      </c>
      <c r="M149" s="33">
        <f t="shared" si="135"/>
        <v>0</v>
      </c>
      <c r="N149" s="34">
        <f t="shared" si="136"/>
        <v>0</v>
      </c>
      <c r="R149" s="16">
        <v>142</v>
      </c>
      <c r="S149" s="35"/>
      <c r="T149" s="32">
        <f t="shared" si="110"/>
        <v>6.3964700000000017</v>
      </c>
      <c r="U149" s="32">
        <f t="shared" si="111"/>
        <v>4.3797618818166538E-2</v>
      </c>
      <c r="V149" s="32">
        <f t="shared" si="112"/>
        <v>6.5278628564545009</v>
      </c>
      <c r="W149" s="32">
        <f t="shared" si="113"/>
        <v>6.2650771435455024</v>
      </c>
      <c r="X149" s="32">
        <f t="shared" si="114"/>
        <v>6.4840652376363348</v>
      </c>
      <c r="Y149" s="32">
        <f t="shared" si="115"/>
        <v>6.3088747623636685</v>
      </c>
      <c r="Z149" s="32">
        <f t="shared" si="116"/>
        <v>6.4402676188181678</v>
      </c>
      <c r="AA149" s="32">
        <f t="shared" si="117"/>
        <v>6.3526723811818355</v>
      </c>
      <c r="AB149" s="33">
        <f t="shared" si="137"/>
        <v>0</v>
      </c>
      <c r="AC149" s="34">
        <f t="shared" si="138"/>
        <v>4.2444444444444479E-2</v>
      </c>
      <c r="AD149" s="33">
        <f t="shared" si="139"/>
        <v>0</v>
      </c>
      <c r="AE149" s="34">
        <f t="shared" si="140"/>
        <v>0.13873391111111122</v>
      </c>
      <c r="AI149" s="16">
        <v>142</v>
      </c>
      <c r="AJ149" s="84"/>
      <c r="AK149" s="32">
        <f t="shared" si="118"/>
        <v>25.808199999999989</v>
      </c>
      <c r="AL149" s="32">
        <f t="shared" si="119"/>
        <v>7.4500084739969288E-2</v>
      </c>
      <c r="AM149" s="32">
        <f t="shared" si="120"/>
        <v>26.031700254219896</v>
      </c>
      <c r="AN149" s="32">
        <f t="shared" si="121"/>
        <v>25.584699745780082</v>
      </c>
      <c r="AO149" s="32">
        <f t="shared" si="122"/>
        <v>25.957200169479929</v>
      </c>
      <c r="AP149" s="32">
        <f t="shared" si="123"/>
        <v>25.659199830520048</v>
      </c>
      <c r="AQ149" s="32">
        <f t="shared" si="124"/>
        <v>25.882700084739959</v>
      </c>
      <c r="AR149" s="32">
        <f t="shared" si="125"/>
        <v>25.733699915260019</v>
      </c>
      <c r="AS149" s="33"/>
      <c r="AT149" s="34">
        <f t="shared" si="141"/>
        <v>6.6666666666666249E-2</v>
      </c>
      <c r="AU149" s="34">
        <f t="shared" si="142"/>
        <v>0</v>
      </c>
      <c r="AV149" s="34">
        <f t="shared" si="143"/>
        <v>0.21790666666666531</v>
      </c>
      <c r="AZ149" s="16">
        <v>142</v>
      </c>
      <c r="BA149" s="35"/>
      <c r="BB149" s="32">
        <f t="shared" si="126"/>
        <v>25.750800000000005</v>
      </c>
      <c r="BC149" s="32">
        <f t="shared" si="127"/>
        <v>5.7272695206019339E-2</v>
      </c>
      <c r="BD149" s="32">
        <f t="shared" si="128"/>
        <v>25.922618085618062</v>
      </c>
      <c r="BE149" s="32">
        <f t="shared" si="129"/>
        <v>25.578981914381949</v>
      </c>
      <c r="BF149" s="32">
        <f t="shared" si="130"/>
        <v>25.865345390412045</v>
      </c>
      <c r="BG149" s="32">
        <f t="shared" si="131"/>
        <v>25.636254609587965</v>
      </c>
      <c r="BH149" s="32">
        <f t="shared" si="132"/>
        <v>25.808072695206025</v>
      </c>
      <c r="BI149" s="32">
        <f t="shared" si="133"/>
        <v>25.693527304793985</v>
      </c>
      <c r="BJ149" s="33"/>
      <c r="BK149" s="34">
        <f t="shared" si="144"/>
        <v>3.6565656565656614E-2</v>
      </c>
      <c r="BL149" s="34">
        <f t="shared" si="145"/>
        <v>0</v>
      </c>
      <c r="BM149" s="34">
        <f t="shared" si="146"/>
        <v>0.11951850505050521</v>
      </c>
      <c r="BQ149" s="22">
        <v>142</v>
      </c>
      <c r="BR149" s="121" t="str">
        <f>IF(ISBLANK(Datos!B144),"",(ABS(Datos!B143-Datos!B144)))</f>
        <v/>
      </c>
      <c r="BS149" s="121" t="str">
        <f>IF(ISBLANK(Datos!C144),"",(ABS(Datos!C143-Datos!C144)))</f>
        <v/>
      </c>
      <c r="BT149" s="121" t="str">
        <f>IF(ISBLANK(Datos!D144),"",(ABS(Datos!D143-Datos!D144)))</f>
        <v/>
      </c>
      <c r="BU149" s="21" t="str">
        <f>IF(ISBLANK(Datos!E144),"",(ABS(Datos!E143-Datos!E144)))</f>
        <v/>
      </c>
    </row>
    <row r="150" spans="1:73" x14ac:dyDescent="0.3">
      <c r="A150" s="16">
        <v>143</v>
      </c>
      <c r="B150" s="35"/>
      <c r="C150" s="32" t="e">
        <f t="shared" si="102"/>
        <v>#DIV/0!</v>
      </c>
      <c r="D150" s="32" t="e">
        <f t="shared" si="103"/>
        <v>#DIV/0!</v>
      </c>
      <c r="E150" s="32" t="e">
        <f t="shared" si="104"/>
        <v>#DIV/0!</v>
      </c>
      <c r="F150" s="32" t="e">
        <f t="shared" si="105"/>
        <v>#DIV/0!</v>
      </c>
      <c r="G150" s="32" t="e">
        <f t="shared" si="106"/>
        <v>#DIV/0!</v>
      </c>
      <c r="H150" s="32" t="e">
        <f t="shared" si="107"/>
        <v>#DIV/0!</v>
      </c>
      <c r="I150" s="32" t="e">
        <f t="shared" si="108"/>
        <v>#DIV/0!</v>
      </c>
      <c r="J150" s="32" t="e">
        <f t="shared" si="109"/>
        <v>#DIV/0!</v>
      </c>
      <c r="K150" s="33">
        <f t="shared" si="100"/>
        <v>0</v>
      </c>
      <c r="L150" s="34">
        <f t="shared" si="134"/>
        <v>0</v>
      </c>
      <c r="M150" s="33">
        <f t="shared" si="135"/>
        <v>0</v>
      </c>
      <c r="N150" s="34">
        <f t="shared" si="136"/>
        <v>0</v>
      </c>
      <c r="R150" s="16">
        <v>143</v>
      </c>
      <c r="S150" s="35"/>
      <c r="T150" s="32">
        <f t="shared" si="110"/>
        <v>6.3964700000000017</v>
      </c>
      <c r="U150" s="32">
        <f t="shared" si="111"/>
        <v>4.3797618818166538E-2</v>
      </c>
      <c r="V150" s="32">
        <f t="shared" si="112"/>
        <v>6.5278628564545009</v>
      </c>
      <c r="W150" s="32">
        <f t="shared" si="113"/>
        <v>6.2650771435455024</v>
      </c>
      <c r="X150" s="32">
        <f t="shared" si="114"/>
        <v>6.4840652376363348</v>
      </c>
      <c r="Y150" s="32">
        <f t="shared" si="115"/>
        <v>6.3088747623636685</v>
      </c>
      <c r="Z150" s="32">
        <f t="shared" si="116"/>
        <v>6.4402676188181678</v>
      </c>
      <c r="AA150" s="32">
        <f t="shared" si="117"/>
        <v>6.3526723811818355</v>
      </c>
      <c r="AB150" s="33">
        <f t="shared" si="137"/>
        <v>0</v>
      </c>
      <c r="AC150" s="34">
        <f t="shared" si="138"/>
        <v>4.2444444444444479E-2</v>
      </c>
      <c r="AD150" s="33">
        <f t="shared" si="139"/>
        <v>0</v>
      </c>
      <c r="AE150" s="34">
        <f t="shared" si="140"/>
        <v>0.13873391111111122</v>
      </c>
      <c r="AI150" s="16">
        <v>143</v>
      </c>
      <c r="AJ150" s="84"/>
      <c r="AK150" s="32">
        <f t="shared" si="118"/>
        <v>25.808199999999989</v>
      </c>
      <c r="AL150" s="32">
        <f t="shared" si="119"/>
        <v>7.4500084739969288E-2</v>
      </c>
      <c r="AM150" s="32">
        <f t="shared" si="120"/>
        <v>26.031700254219896</v>
      </c>
      <c r="AN150" s="32">
        <f t="shared" si="121"/>
        <v>25.584699745780082</v>
      </c>
      <c r="AO150" s="32">
        <f t="shared" si="122"/>
        <v>25.957200169479929</v>
      </c>
      <c r="AP150" s="32">
        <f t="shared" si="123"/>
        <v>25.659199830520048</v>
      </c>
      <c r="AQ150" s="32">
        <f t="shared" si="124"/>
        <v>25.882700084739959</v>
      </c>
      <c r="AR150" s="32">
        <f t="shared" si="125"/>
        <v>25.733699915260019</v>
      </c>
      <c r="AS150" s="33"/>
      <c r="AT150" s="34">
        <f t="shared" si="141"/>
        <v>6.6666666666666249E-2</v>
      </c>
      <c r="AU150" s="34">
        <f t="shared" si="142"/>
        <v>0</v>
      </c>
      <c r="AV150" s="34">
        <f t="shared" si="143"/>
        <v>0.21790666666666531</v>
      </c>
      <c r="AZ150" s="16">
        <v>143</v>
      </c>
      <c r="BA150" s="35"/>
      <c r="BB150" s="32">
        <f t="shared" si="126"/>
        <v>25.750800000000005</v>
      </c>
      <c r="BC150" s="32">
        <f t="shared" si="127"/>
        <v>5.7272695206019339E-2</v>
      </c>
      <c r="BD150" s="32">
        <f t="shared" si="128"/>
        <v>25.922618085618062</v>
      </c>
      <c r="BE150" s="32">
        <f t="shared" si="129"/>
        <v>25.578981914381949</v>
      </c>
      <c r="BF150" s="32">
        <f t="shared" si="130"/>
        <v>25.865345390412045</v>
      </c>
      <c r="BG150" s="32">
        <f t="shared" si="131"/>
        <v>25.636254609587965</v>
      </c>
      <c r="BH150" s="32">
        <f t="shared" si="132"/>
        <v>25.808072695206025</v>
      </c>
      <c r="BI150" s="32">
        <f t="shared" si="133"/>
        <v>25.693527304793985</v>
      </c>
      <c r="BJ150" s="33"/>
      <c r="BK150" s="34">
        <f t="shared" si="144"/>
        <v>3.6565656565656614E-2</v>
      </c>
      <c r="BL150" s="34">
        <f t="shared" si="145"/>
        <v>0</v>
      </c>
      <c r="BM150" s="34">
        <f t="shared" si="146"/>
        <v>0.11951850505050521</v>
      </c>
      <c r="BQ150" s="22">
        <v>143</v>
      </c>
      <c r="BR150" s="121" t="str">
        <f>IF(ISBLANK(Datos!B145),"",(ABS(Datos!B144-Datos!B145)))</f>
        <v/>
      </c>
      <c r="BS150" s="121" t="str">
        <f>IF(ISBLANK(Datos!C145),"",(ABS(Datos!C144-Datos!C145)))</f>
        <v/>
      </c>
      <c r="BT150" s="121" t="str">
        <f>IF(ISBLANK(Datos!D145),"",(ABS(Datos!D144-Datos!D145)))</f>
        <v/>
      </c>
      <c r="BU150" s="21" t="str">
        <f>IF(ISBLANK(Datos!E145),"",(ABS(Datos!E144-Datos!E145)))</f>
        <v/>
      </c>
    </row>
    <row r="151" spans="1:73" x14ac:dyDescent="0.3">
      <c r="A151" s="16">
        <v>144</v>
      </c>
      <c r="B151" s="35"/>
      <c r="C151" s="32" t="e">
        <f t="shared" si="102"/>
        <v>#DIV/0!</v>
      </c>
      <c r="D151" s="32" t="e">
        <f t="shared" si="103"/>
        <v>#DIV/0!</v>
      </c>
      <c r="E151" s="32" t="e">
        <f t="shared" si="104"/>
        <v>#DIV/0!</v>
      </c>
      <c r="F151" s="32" t="e">
        <f t="shared" si="105"/>
        <v>#DIV/0!</v>
      </c>
      <c r="G151" s="32" t="e">
        <f t="shared" si="106"/>
        <v>#DIV/0!</v>
      </c>
      <c r="H151" s="32" t="e">
        <f t="shared" si="107"/>
        <v>#DIV/0!</v>
      </c>
      <c r="I151" s="32" t="e">
        <f t="shared" si="108"/>
        <v>#DIV/0!</v>
      </c>
      <c r="J151" s="32" t="e">
        <f t="shared" si="109"/>
        <v>#DIV/0!</v>
      </c>
      <c r="K151" s="33">
        <f t="shared" si="100"/>
        <v>0</v>
      </c>
      <c r="L151" s="34">
        <f t="shared" si="134"/>
        <v>0</v>
      </c>
      <c r="M151" s="33">
        <f t="shared" si="135"/>
        <v>0</v>
      </c>
      <c r="N151" s="34">
        <f t="shared" si="136"/>
        <v>0</v>
      </c>
      <c r="R151" s="16">
        <v>144</v>
      </c>
      <c r="S151" s="35"/>
      <c r="T151" s="32">
        <f t="shared" si="110"/>
        <v>6.3964700000000017</v>
      </c>
      <c r="U151" s="32">
        <f t="shared" si="111"/>
        <v>4.3797618818166538E-2</v>
      </c>
      <c r="V151" s="32">
        <f t="shared" si="112"/>
        <v>6.5278628564545009</v>
      </c>
      <c r="W151" s="32">
        <f t="shared" si="113"/>
        <v>6.2650771435455024</v>
      </c>
      <c r="X151" s="32">
        <f t="shared" si="114"/>
        <v>6.4840652376363348</v>
      </c>
      <c r="Y151" s="32">
        <f t="shared" si="115"/>
        <v>6.3088747623636685</v>
      </c>
      <c r="Z151" s="32">
        <f t="shared" si="116"/>
        <v>6.4402676188181678</v>
      </c>
      <c r="AA151" s="32">
        <f t="shared" si="117"/>
        <v>6.3526723811818355</v>
      </c>
      <c r="AB151" s="33">
        <f t="shared" si="137"/>
        <v>0</v>
      </c>
      <c r="AC151" s="34">
        <f t="shared" si="138"/>
        <v>4.2444444444444479E-2</v>
      </c>
      <c r="AD151" s="33">
        <f t="shared" si="139"/>
        <v>0</v>
      </c>
      <c r="AE151" s="34">
        <f t="shared" si="140"/>
        <v>0.13873391111111122</v>
      </c>
      <c r="AI151" s="16">
        <v>144</v>
      </c>
      <c r="AJ151" s="84"/>
      <c r="AK151" s="32">
        <f t="shared" si="118"/>
        <v>25.808199999999989</v>
      </c>
      <c r="AL151" s="32">
        <f t="shared" si="119"/>
        <v>7.4500084739969288E-2</v>
      </c>
      <c r="AM151" s="32">
        <f t="shared" si="120"/>
        <v>26.031700254219896</v>
      </c>
      <c r="AN151" s="32">
        <f t="shared" si="121"/>
        <v>25.584699745780082</v>
      </c>
      <c r="AO151" s="32">
        <f t="shared" si="122"/>
        <v>25.957200169479929</v>
      </c>
      <c r="AP151" s="32">
        <f t="shared" si="123"/>
        <v>25.659199830520048</v>
      </c>
      <c r="AQ151" s="32">
        <f t="shared" si="124"/>
        <v>25.882700084739959</v>
      </c>
      <c r="AR151" s="32">
        <f t="shared" si="125"/>
        <v>25.733699915260019</v>
      </c>
      <c r="AS151" s="33"/>
      <c r="AT151" s="34">
        <f t="shared" si="141"/>
        <v>6.6666666666666249E-2</v>
      </c>
      <c r="AU151" s="34">
        <f t="shared" si="142"/>
        <v>0</v>
      </c>
      <c r="AV151" s="34">
        <f t="shared" si="143"/>
        <v>0.21790666666666531</v>
      </c>
      <c r="AZ151" s="16">
        <v>144</v>
      </c>
      <c r="BA151" s="35"/>
      <c r="BB151" s="32">
        <f t="shared" si="126"/>
        <v>25.750800000000005</v>
      </c>
      <c r="BC151" s="32">
        <f t="shared" si="127"/>
        <v>5.7272695206019339E-2</v>
      </c>
      <c r="BD151" s="32">
        <f t="shared" si="128"/>
        <v>25.922618085618062</v>
      </c>
      <c r="BE151" s="32">
        <f t="shared" si="129"/>
        <v>25.578981914381949</v>
      </c>
      <c r="BF151" s="32">
        <f t="shared" si="130"/>
        <v>25.865345390412045</v>
      </c>
      <c r="BG151" s="32">
        <f t="shared" si="131"/>
        <v>25.636254609587965</v>
      </c>
      <c r="BH151" s="32">
        <f t="shared" si="132"/>
        <v>25.808072695206025</v>
      </c>
      <c r="BI151" s="32">
        <f t="shared" si="133"/>
        <v>25.693527304793985</v>
      </c>
      <c r="BJ151" s="33"/>
      <c r="BK151" s="34">
        <f t="shared" si="144"/>
        <v>3.6565656565656614E-2</v>
      </c>
      <c r="BL151" s="34">
        <f t="shared" si="145"/>
        <v>0</v>
      </c>
      <c r="BM151" s="34">
        <f t="shared" si="146"/>
        <v>0.11951850505050521</v>
      </c>
      <c r="BQ151" s="22">
        <v>144</v>
      </c>
      <c r="BR151" s="121" t="str">
        <f>IF(ISBLANK(Datos!B146),"",(ABS(Datos!B145-Datos!B146)))</f>
        <v/>
      </c>
      <c r="BS151" s="121" t="str">
        <f>IF(ISBLANK(Datos!C146),"",(ABS(Datos!C145-Datos!C146)))</f>
        <v/>
      </c>
      <c r="BT151" s="121" t="str">
        <f>IF(ISBLANK(Datos!D146),"",(ABS(Datos!D145-Datos!D146)))</f>
        <v/>
      </c>
      <c r="BU151" s="21" t="str">
        <f>IF(ISBLANK(Datos!E146),"",(ABS(Datos!E145-Datos!E146)))</f>
        <v/>
      </c>
    </row>
    <row r="152" spans="1:73" x14ac:dyDescent="0.3">
      <c r="A152" s="16">
        <v>145</v>
      </c>
      <c r="B152" s="35"/>
      <c r="C152" s="32" t="e">
        <f t="shared" si="102"/>
        <v>#DIV/0!</v>
      </c>
      <c r="D152" s="32" t="e">
        <f t="shared" si="103"/>
        <v>#DIV/0!</v>
      </c>
      <c r="E152" s="32" t="e">
        <f t="shared" si="104"/>
        <v>#DIV/0!</v>
      </c>
      <c r="F152" s="32" t="e">
        <f t="shared" si="105"/>
        <v>#DIV/0!</v>
      </c>
      <c r="G152" s="32" t="e">
        <f t="shared" si="106"/>
        <v>#DIV/0!</v>
      </c>
      <c r="H152" s="32" t="e">
        <f t="shared" si="107"/>
        <v>#DIV/0!</v>
      </c>
      <c r="I152" s="32" t="e">
        <f t="shared" si="108"/>
        <v>#DIV/0!</v>
      </c>
      <c r="J152" s="32" t="e">
        <f t="shared" si="109"/>
        <v>#DIV/0!</v>
      </c>
      <c r="K152" s="33">
        <f t="shared" si="100"/>
        <v>0</v>
      </c>
      <c r="L152" s="34">
        <f t="shared" si="134"/>
        <v>0</v>
      </c>
      <c r="M152" s="33">
        <f t="shared" si="135"/>
        <v>0</v>
      </c>
      <c r="N152" s="34">
        <f t="shared" si="136"/>
        <v>0</v>
      </c>
      <c r="R152" s="16">
        <v>145</v>
      </c>
      <c r="S152" s="35"/>
      <c r="T152" s="32">
        <f t="shared" si="110"/>
        <v>6.3964700000000017</v>
      </c>
      <c r="U152" s="32">
        <f t="shared" si="111"/>
        <v>4.3797618818166538E-2</v>
      </c>
      <c r="V152" s="32">
        <f t="shared" si="112"/>
        <v>6.5278628564545009</v>
      </c>
      <c r="W152" s="32">
        <f t="shared" si="113"/>
        <v>6.2650771435455024</v>
      </c>
      <c r="X152" s="32">
        <f t="shared" si="114"/>
        <v>6.4840652376363348</v>
      </c>
      <c r="Y152" s="32">
        <f t="shared" si="115"/>
        <v>6.3088747623636685</v>
      </c>
      <c r="Z152" s="32">
        <f t="shared" si="116"/>
        <v>6.4402676188181678</v>
      </c>
      <c r="AA152" s="32">
        <f t="shared" si="117"/>
        <v>6.3526723811818355</v>
      </c>
      <c r="AB152" s="33">
        <f t="shared" si="137"/>
        <v>0</v>
      </c>
      <c r="AC152" s="34">
        <f t="shared" si="138"/>
        <v>4.2444444444444479E-2</v>
      </c>
      <c r="AD152" s="33">
        <f t="shared" si="139"/>
        <v>0</v>
      </c>
      <c r="AE152" s="34">
        <f t="shared" si="140"/>
        <v>0.13873391111111122</v>
      </c>
      <c r="AI152" s="16">
        <v>145</v>
      </c>
      <c r="AJ152" s="84"/>
      <c r="AK152" s="32">
        <f t="shared" si="118"/>
        <v>25.808199999999989</v>
      </c>
      <c r="AL152" s="32">
        <f t="shared" si="119"/>
        <v>7.4500084739969288E-2</v>
      </c>
      <c r="AM152" s="32">
        <f t="shared" si="120"/>
        <v>26.031700254219896</v>
      </c>
      <c r="AN152" s="32">
        <f t="shared" si="121"/>
        <v>25.584699745780082</v>
      </c>
      <c r="AO152" s="32">
        <f t="shared" si="122"/>
        <v>25.957200169479929</v>
      </c>
      <c r="AP152" s="32">
        <f t="shared" si="123"/>
        <v>25.659199830520048</v>
      </c>
      <c r="AQ152" s="32">
        <f t="shared" si="124"/>
        <v>25.882700084739959</v>
      </c>
      <c r="AR152" s="32">
        <f t="shared" si="125"/>
        <v>25.733699915260019</v>
      </c>
      <c r="AS152" s="33"/>
      <c r="AT152" s="34">
        <f t="shared" si="141"/>
        <v>6.6666666666666249E-2</v>
      </c>
      <c r="AU152" s="34">
        <f t="shared" si="142"/>
        <v>0</v>
      </c>
      <c r="AV152" s="34">
        <f t="shared" si="143"/>
        <v>0.21790666666666531</v>
      </c>
      <c r="AZ152" s="16">
        <v>145</v>
      </c>
      <c r="BA152" s="35"/>
      <c r="BB152" s="32">
        <f t="shared" si="126"/>
        <v>25.750800000000005</v>
      </c>
      <c r="BC152" s="32">
        <f t="shared" si="127"/>
        <v>5.7272695206019339E-2</v>
      </c>
      <c r="BD152" s="32">
        <f t="shared" si="128"/>
        <v>25.922618085618062</v>
      </c>
      <c r="BE152" s="32">
        <f t="shared" si="129"/>
        <v>25.578981914381949</v>
      </c>
      <c r="BF152" s="32">
        <f t="shared" si="130"/>
        <v>25.865345390412045</v>
      </c>
      <c r="BG152" s="32">
        <f t="shared" si="131"/>
        <v>25.636254609587965</v>
      </c>
      <c r="BH152" s="32">
        <f t="shared" si="132"/>
        <v>25.808072695206025</v>
      </c>
      <c r="BI152" s="32">
        <f t="shared" si="133"/>
        <v>25.693527304793985</v>
      </c>
      <c r="BJ152" s="33"/>
      <c r="BK152" s="34">
        <f t="shared" si="144"/>
        <v>3.6565656565656614E-2</v>
      </c>
      <c r="BL152" s="34">
        <f t="shared" si="145"/>
        <v>0</v>
      </c>
      <c r="BM152" s="34">
        <f t="shared" si="146"/>
        <v>0.11951850505050521</v>
      </c>
      <c r="BQ152" s="22">
        <v>145</v>
      </c>
      <c r="BR152" s="121" t="str">
        <f>IF(ISBLANK(Datos!B147),"",(ABS(Datos!B146-Datos!B147)))</f>
        <v/>
      </c>
      <c r="BS152" s="121" t="str">
        <f>IF(ISBLANK(Datos!C147),"",(ABS(Datos!C146-Datos!C147)))</f>
        <v/>
      </c>
      <c r="BT152" s="121" t="str">
        <f>IF(ISBLANK(Datos!D147),"",(ABS(Datos!D146-Datos!D147)))</f>
        <v/>
      </c>
      <c r="BU152" s="21" t="str">
        <f>IF(ISBLANK(Datos!E147),"",(ABS(Datos!E146-Datos!E147)))</f>
        <v/>
      </c>
    </row>
    <row r="153" spans="1:73" x14ac:dyDescent="0.3">
      <c r="A153" s="16">
        <v>146</v>
      </c>
      <c r="B153" s="35"/>
      <c r="C153" s="32" t="e">
        <f t="shared" si="102"/>
        <v>#DIV/0!</v>
      </c>
      <c r="D153" s="32" t="e">
        <f t="shared" si="103"/>
        <v>#DIV/0!</v>
      </c>
      <c r="E153" s="32" t="e">
        <f t="shared" si="104"/>
        <v>#DIV/0!</v>
      </c>
      <c r="F153" s="32" t="e">
        <f t="shared" si="105"/>
        <v>#DIV/0!</v>
      </c>
      <c r="G153" s="32" t="e">
        <f t="shared" si="106"/>
        <v>#DIV/0!</v>
      </c>
      <c r="H153" s="32" t="e">
        <f t="shared" si="107"/>
        <v>#DIV/0!</v>
      </c>
      <c r="I153" s="32" t="e">
        <f t="shared" si="108"/>
        <v>#DIV/0!</v>
      </c>
      <c r="J153" s="32" t="e">
        <f t="shared" si="109"/>
        <v>#DIV/0!</v>
      </c>
      <c r="K153" s="33">
        <f t="shared" si="100"/>
        <v>0</v>
      </c>
      <c r="L153" s="34">
        <f t="shared" si="134"/>
        <v>0</v>
      </c>
      <c r="M153" s="33">
        <f t="shared" si="135"/>
        <v>0</v>
      </c>
      <c r="N153" s="34">
        <f t="shared" si="136"/>
        <v>0</v>
      </c>
      <c r="R153" s="16">
        <v>146</v>
      </c>
      <c r="S153" s="35"/>
      <c r="T153" s="32">
        <f t="shared" si="110"/>
        <v>6.3964700000000017</v>
      </c>
      <c r="U153" s="32">
        <f t="shared" si="111"/>
        <v>4.3797618818166538E-2</v>
      </c>
      <c r="V153" s="32">
        <f t="shared" si="112"/>
        <v>6.5278628564545009</v>
      </c>
      <c r="W153" s="32">
        <f t="shared" si="113"/>
        <v>6.2650771435455024</v>
      </c>
      <c r="X153" s="32">
        <f t="shared" si="114"/>
        <v>6.4840652376363348</v>
      </c>
      <c r="Y153" s="32">
        <f t="shared" si="115"/>
        <v>6.3088747623636685</v>
      </c>
      <c r="Z153" s="32">
        <f t="shared" si="116"/>
        <v>6.4402676188181678</v>
      </c>
      <c r="AA153" s="32">
        <f t="shared" si="117"/>
        <v>6.3526723811818355</v>
      </c>
      <c r="AB153" s="33">
        <f t="shared" si="137"/>
        <v>0</v>
      </c>
      <c r="AC153" s="34">
        <f t="shared" si="138"/>
        <v>4.2444444444444479E-2</v>
      </c>
      <c r="AD153" s="33">
        <f t="shared" si="139"/>
        <v>0</v>
      </c>
      <c r="AE153" s="34">
        <f t="shared" si="140"/>
        <v>0.13873391111111122</v>
      </c>
      <c r="AI153" s="16">
        <v>146</v>
      </c>
      <c r="AJ153" s="84"/>
      <c r="AK153" s="32">
        <f t="shared" si="118"/>
        <v>25.808199999999989</v>
      </c>
      <c r="AL153" s="32">
        <f t="shared" si="119"/>
        <v>7.4500084739969288E-2</v>
      </c>
      <c r="AM153" s="32">
        <f t="shared" si="120"/>
        <v>26.031700254219896</v>
      </c>
      <c r="AN153" s="32">
        <f t="shared" si="121"/>
        <v>25.584699745780082</v>
      </c>
      <c r="AO153" s="32">
        <f t="shared" si="122"/>
        <v>25.957200169479929</v>
      </c>
      <c r="AP153" s="32">
        <f t="shared" si="123"/>
        <v>25.659199830520048</v>
      </c>
      <c r="AQ153" s="32">
        <f t="shared" si="124"/>
        <v>25.882700084739959</v>
      </c>
      <c r="AR153" s="32">
        <f t="shared" si="125"/>
        <v>25.733699915260019</v>
      </c>
      <c r="AS153" s="33"/>
      <c r="AT153" s="34">
        <f t="shared" si="141"/>
        <v>6.6666666666666249E-2</v>
      </c>
      <c r="AU153" s="34">
        <f t="shared" si="142"/>
        <v>0</v>
      </c>
      <c r="AV153" s="34">
        <f t="shared" si="143"/>
        <v>0.21790666666666531</v>
      </c>
      <c r="AZ153" s="16">
        <v>146</v>
      </c>
      <c r="BA153" s="35"/>
      <c r="BB153" s="32">
        <f t="shared" si="126"/>
        <v>25.750800000000005</v>
      </c>
      <c r="BC153" s="32">
        <f t="shared" si="127"/>
        <v>5.7272695206019339E-2</v>
      </c>
      <c r="BD153" s="32">
        <f t="shared" si="128"/>
        <v>25.922618085618062</v>
      </c>
      <c r="BE153" s="32">
        <f t="shared" si="129"/>
        <v>25.578981914381949</v>
      </c>
      <c r="BF153" s="32">
        <f t="shared" si="130"/>
        <v>25.865345390412045</v>
      </c>
      <c r="BG153" s="32">
        <f t="shared" si="131"/>
        <v>25.636254609587965</v>
      </c>
      <c r="BH153" s="32">
        <f t="shared" si="132"/>
        <v>25.808072695206025</v>
      </c>
      <c r="BI153" s="32">
        <f t="shared" si="133"/>
        <v>25.693527304793985</v>
      </c>
      <c r="BJ153" s="33"/>
      <c r="BK153" s="34">
        <f t="shared" si="144"/>
        <v>3.6565656565656614E-2</v>
      </c>
      <c r="BL153" s="34">
        <f t="shared" si="145"/>
        <v>0</v>
      </c>
      <c r="BM153" s="34">
        <f t="shared" si="146"/>
        <v>0.11951850505050521</v>
      </c>
      <c r="BQ153" s="22">
        <v>146</v>
      </c>
      <c r="BR153" s="121" t="str">
        <f>IF(ISBLANK(Datos!B148),"",(ABS(Datos!B147-Datos!B148)))</f>
        <v/>
      </c>
      <c r="BS153" s="121" t="str">
        <f>IF(ISBLANK(Datos!C148),"",(ABS(Datos!C147-Datos!C148)))</f>
        <v/>
      </c>
      <c r="BT153" s="121" t="str">
        <f>IF(ISBLANK(Datos!D148),"",(ABS(Datos!D147-Datos!D148)))</f>
        <v/>
      </c>
      <c r="BU153" s="21" t="str">
        <f>IF(ISBLANK(Datos!E148),"",(ABS(Datos!E147-Datos!E148)))</f>
        <v/>
      </c>
    </row>
    <row r="154" spans="1:73" x14ac:dyDescent="0.3">
      <c r="A154" s="16">
        <v>147</v>
      </c>
      <c r="B154" s="35"/>
      <c r="C154" s="32" t="e">
        <f t="shared" si="102"/>
        <v>#DIV/0!</v>
      </c>
      <c r="D154" s="32" t="e">
        <f t="shared" si="103"/>
        <v>#DIV/0!</v>
      </c>
      <c r="E154" s="32" t="e">
        <f t="shared" si="104"/>
        <v>#DIV/0!</v>
      </c>
      <c r="F154" s="32" t="e">
        <f t="shared" si="105"/>
        <v>#DIV/0!</v>
      </c>
      <c r="G154" s="32" t="e">
        <f t="shared" si="106"/>
        <v>#DIV/0!</v>
      </c>
      <c r="H154" s="32" t="e">
        <f t="shared" si="107"/>
        <v>#DIV/0!</v>
      </c>
      <c r="I154" s="32" t="e">
        <f t="shared" si="108"/>
        <v>#DIV/0!</v>
      </c>
      <c r="J154" s="32" t="e">
        <f t="shared" si="109"/>
        <v>#DIV/0!</v>
      </c>
      <c r="K154" s="33">
        <f t="shared" si="100"/>
        <v>0</v>
      </c>
      <c r="L154" s="34">
        <f t="shared" si="134"/>
        <v>0</v>
      </c>
      <c r="M154" s="33">
        <f t="shared" si="135"/>
        <v>0</v>
      </c>
      <c r="N154" s="34">
        <f t="shared" si="136"/>
        <v>0</v>
      </c>
      <c r="R154" s="16">
        <v>147</v>
      </c>
      <c r="S154" s="35"/>
      <c r="T154" s="32">
        <f t="shared" si="110"/>
        <v>6.3964700000000017</v>
      </c>
      <c r="U154" s="32">
        <f t="shared" si="111"/>
        <v>4.3797618818166538E-2</v>
      </c>
      <c r="V154" s="32">
        <f t="shared" si="112"/>
        <v>6.5278628564545009</v>
      </c>
      <c r="W154" s="32">
        <f t="shared" si="113"/>
        <v>6.2650771435455024</v>
      </c>
      <c r="X154" s="32">
        <f t="shared" si="114"/>
        <v>6.4840652376363348</v>
      </c>
      <c r="Y154" s="32">
        <f t="shared" si="115"/>
        <v>6.3088747623636685</v>
      </c>
      <c r="Z154" s="32">
        <f t="shared" si="116"/>
        <v>6.4402676188181678</v>
      </c>
      <c r="AA154" s="32">
        <f t="shared" si="117"/>
        <v>6.3526723811818355</v>
      </c>
      <c r="AB154" s="33">
        <f t="shared" si="137"/>
        <v>0</v>
      </c>
      <c r="AC154" s="34">
        <f t="shared" si="138"/>
        <v>4.2444444444444479E-2</v>
      </c>
      <c r="AD154" s="33">
        <f t="shared" si="139"/>
        <v>0</v>
      </c>
      <c r="AE154" s="34">
        <f t="shared" si="140"/>
        <v>0.13873391111111122</v>
      </c>
      <c r="AI154" s="16">
        <v>147</v>
      </c>
      <c r="AJ154" s="84"/>
      <c r="AK154" s="32">
        <f t="shared" si="118"/>
        <v>25.808199999999989</v>
      </c>
      <c r="AL154" s="32">
        <f t="shared" si="119"/>
        <v>7.4500084739969288E-2</v>
      </c>
      <c r="AM154" s="32">
        <f t="shared" si="120"/>
        <v>26.031700254219896</v>
      </c>
      <c r="AN154" s="32">
        <f t="shared" si="121"/>
        <v>25.584699745780082</v>
      </c>
      <c r="AO154" s="32">
        <f t="shared" si="122"/>
        <v>25.957200169479929</v>
      </c>
      <c r="AP154" s="32">
        <f t="shared" si="123"/>
        <v>25.659199830520048</v>
      </c>
      <c r="AQ154" s="32">
        <f t="shared" si="124"/>
        <v>25.882700084739959</v>
      </c>
      <c r="AR154" s="32">
        <f t="shared" si="125"/>
        <v>25.733699915260019</v>
      </c>
      <c r="AS154" s="33"/>
      <c r="AT154" s="34">
        <f t="shared" si="141"/>
        <v>6.6666666666666249E-2</v>
      </c>
      <c r="AU154" s="34">
        <f t="shared" si="142"/>
        <v>0</v>
      </c>
      <c r="AV154" s="34">
        <f t="shared" si="143"/>
        <v>0.21790666666666531</v>
      </c>
      <c r="AZ154" s="16">
        <v>147</v>
      </c>
      <c r="BA154" s="35"/>
      <c r="BB154" s="32">
        <f t="shared" si="126"/>
        <v>25.750800000000005</v>
      </c>
      <c r="BC154" s="32">
        <f t="shared" si="127"/>
        <v>5.7272695206019339E-2</v>
      </c>
      <c r="BD154" s="32">
        <f t="shared" si="128"/>
        <v>25.922618085618062</v>
      </c>
      <c r="BE154" s="32">
        <f t="shared" si="129"/>
        <v>25.578981914381949</v>
      </c>
      <c r="BF154" s="32">
        <f t="shared" si="130"/>
        <v>25.865345390412045</v>
      </c>
      <c r="BG154" s="32">
        <f t="shared" si="131"/>
        <v>25.636254609587965</v>
      </c>
      <c r="BH154" s="32">
        <f t="shared" si="132"/>
        <v>25.808072695206025</v>
      </c>
      <c r="BI154" s="32">
        <f t="shared" si="133"/>
        <v>25.693527304793985</v>
      </c>
      <c r="BJ154" s="33"/>
      <c r="BK154" s="34">
        <f t="shared" si="144"/>
        <v>3.6565656565656614E-2</v>
      </c>
      <c r="BL154" s="34">
        <f t="shared" si="145"/>
        <v>0</v>
      </c>
      <c r="BM154" s="34">
        <f t="shared" si="146"/>
        <v>0.11951850505050521</v>
      </c>
      <c r="BQ154" s="22">
        <v>147</v>
      </c>
      <c r="BR154" s="121" t="str">
        <f>IF(ISBLANK(Datos!B149),"",(ABS(Datos!B148-Datos!B149)))</f>
        <v/>
      </c>
      <c r="BS154" s="121" t="str">
        <f>IF(ISBLANK(Datos!C149),"",(ABS(Datos!C148-Datos!C149)))</f>
        <v/>
      </c>
      <c r="BT154" s="121" t="str">
        <f>IF(ISBLANK(Datos!D149),"",(ABS(Datos!D148-Datos!D149)))</f>
        <v/>
      </c>
      <c r="BU154" s="21" t="str">
        <f>IF(ISBLANK(Datos!E149),"",(ABS(Datos!E148-Datos!E149)))</f>
        <v/>
      </c>
    </row>
    <row r="155" spans="1:73" x14ac:dyDescent="0.3">
      <c r="A155" s="16">
        <v>148</v>
      </c>
      <c r="B155" s="35"/>
      <c r="C155" s="32" t="e">
        <f t="shared" si="102"/>
        <v>#DIV/0!</v>
      </c>
      <c r="D155" s="32" t="e">
        <f t="shared" si="103"/>
        <v>#DIV/0!</v>
      </c>
      <c r="E155" s="32" t="e">
        <f t="shared" si="104"/>
        <v>#DIV/0!</v>
      </c>
      <c r="F155" s="32" t="e">
        <f t="shared" si="105"/>
        <v>#DIV/0!</v>
      </c>
      <c r="G155" s="32" t="e">
        <f t="shared" si="106"/>
        <v>#DIV/0!</v>
      </c>
      <c r="H155" s="32" t="e">
        <f t="shared" si="107"/>
        <v>#DIV/0!</v>
      </c>
      <c r="I155" s="32" t="e">
        <f t="shared" si="108"/>
        <v>#DIV/0!</v>
      </c>
      <c r="J155" s="32" t="e">
        <f t="shared" si="109"/>
        <v>#DIV/0!</v>
      </c>
      <c r="K155" s="33">
        <f t="shared" si="100"/>
        <v>0</v>
      </c>
      <c r="L155" s="34">
        <f t="shared" si="134"/>
        <v>0</v>
      </c>
      <c r="M155" s="33">
        <f t="shared" si="135"/>
        <v>0</v>
      </c>
      <c r="N155" s="34">
        <f t="shared" si="136"/>
        <v>0</v>
      </c>
      <c r="R155" s="16">
        <v>148</v>
      </c>
      <c r="S155" s="35"/>
      <c r="T155" s="32">
        <f t="shared" si="110"/>
        <v>6.3964700000000017</v>
      </c>
      <c r="U155" s="32">
        <f t="shared" si="111"/>
        <v>4.3797618818166538E-2</v>
      </c>
      <c r="V155" s="32">
        <f t="shared" si="112"/>
        <v>6.5278628564545009</v>
      </c>
      <c r="W155" s="32">
        <f t="shared" si="113"/>
        <v>6.2650771435455024</v>
      </c>
      <c r="X155" s="32">
        <f t="shared" si="114"/>
        <v>6.4840652376363348</v>
      </c>
      <c r="Y155" s="32">
        <f t="shared" si="115"/>
        <v>6.3088747623636685</v>
      </c>
      <c r="Z155" s="32">
        <f t="shared" si="116"/>
        <v>6.4402676188181678</v>
      </c>
      <c r="AA155" s="32">
        <f t="shared" si="117"/>
        <v>6.3526723811818355</v>
      </c>
      <c r="AB155" s="33">
        <f t="shared" si="137"/>
        <v>0</v>
      </c>
      <c r="AC155" s="34">
        <f t="shared" si="138"/>
        <v>4.2444444444444479E-2</v>
      </c>
      <c r="AD155" s="33">
        <f t="shared" si="139"/>
        <v>0</v>
      </c>
      <c r="AE155" s="34">
        <f t="shared" si="140"/>
        <v>0.13873391111111122</v>
      </c>
      <c r="AI155" s="16">
        <v>148</v>
      </c>
      <c r="AJ155" s="84"/>
      <c r="AK155" s="32">
        <f t="shared" si="118"/>
        <v>25.808199999999989</v>
      </c>
      <c r="AL155" s="32">
        <f t="shared" si="119"/>
        <v>7.4500084739969288E-2</v>
      </c>
      <c r="AM155" s="32">
        <f t="shared" si="120"/>
        <v>26.031700254219896</v>
      </c>
      <c r="AN155" s="32">
        <f t="shared" si="121"/>
        <v>25.584699745780082</v>
      </c>
      <c r="AO155" s="32">
        <f t="shared" si="122"/>
        <v>25.957200169479929</v>
      </c>
      <c r="AP155" s="32">
        <f t="shared" si="123"/>
        <v>25.659199830520048</v>
      </c>
      <c r="AQ155" s="32">
        <f t="shared" si="124"/>
        <v>25.882700084739959</v>
      </c>
      <c r="AR155" s="32">
        <f t="shared" si="125"/>
        <v>25.733699915260019</v>
      </c>
      <c r="AS155" s="33"/>
      <c r="AT155" s="34">
        <f t="shared" si="141"/>
        <v>6.6666666666666249E-2</v>
      </c>
      <c r="AU155" s="34">
        <f t="shared" si="142"/>
        <v>0</v>
      </c>
      <c r="AV155" s="34">
        <f t="shared" si="143"/>
        <v>0.21790666666666531</v>
      </c>
      <c r="AZ155" s="16">
        <v>148</v>
      </c>
      <c r="BA155" s="35"/>
      <c r="BB155" s="32">
        <f t="shared" si="126"/>
        <v>25.750800000000005</v>
      </c>
      <c r="BC155" s="32">
        <f t="shared" si="127"/>
        <v>5.7272695206019339E-2</v>
      </c>
      <c r="BD155" s="32">
        <f t="shared" si="128"/>
        <v>25.922618085618062</v>
      </c>
      <c r="BE155" s="32">
        <f t="shared" si="129"/>
        <v>25.578981914381949</v>
      </c>
      <c r="BF155" s="32">
        <f t="shared" si="130"/>
        <v>25.865345390412045</v>
      </c>
      <c r="BG155" s="32">
        <f t="shared" si="131"/>
        <v>25.636254609587965</v>
      </c>
      <c r="BH155" s="32">
        <f t="shared" si="132"/>
        <v>25.808072695206025</v>
      </c>
      <c r="BI155" s="32">
        <f t="shared" si="133"/>
        <v>25.693527304793985</v>
      </c>
      <c r="BJ155" s="33"/>
      <c r="BK155" s="34">
        <f t="shared" si="144"/>
        <v>3.6565656565656614E-2</v>
      </c>
      <c r="BL155" s="34">
        <f t="shared" si="145"/>
        <v>0</v>
      </c>
      <c r="BM155" s="34">
        <f t="shared" si="146"/>
        <v>0.11951850505050521</v>
      </c>
      <c r="BQ155" s="22">
        <v>148</v>
      </c>
      <c r="BR155" s="121" t="str">
        <f>IF(ISBLANK(Datos!B150),"",(ABS(Datos!B149-Datos!B150)))</f>
        <v/>
      </c>
      <c r="BS155" s="121" t="str">
        <f>IF(ISBLANK(Datos!C150),"",(ABS(Datos!C149-Datos!C150)))</f>
        <v/>
      </c>
      <c r="BT155" s="121" t="str">
        <f>IF(ISBLANK(Datos!D150),"",(ABS(Datos!D149-Datos!D150)))</f>
        <v/>
      </c>
      <c r="BU155" s="21" t="str">
        <f>IF(ISBLANK(Datos!E150),"",(ABS(Datos!E149-Datos!E150)))</f>
        <v/>
      </c>
    </row>
    <row r="156" spans="1:73" x14ac:dyDescent="0.3">
      <c r="A156" s="16">
        <v>149</v>
      </c>
      <c r="B156" s="35"/>
      <c r="C156" s="32" t="e">
        <f t="shared" si="102"/>
        <v>#DIV/0!</v>
      </c>
      <c r="D156" s="32" t="e">
        <f t="shared" si="103"/>
        <v>#DIV/0!</v>
      </c>
      <c r="E156" s="32" t="e">
        <f t="shared" si="104"/>
        <v>#DIV/0!</v>
      </c>
      <c r="F156" s="32" t="e">
        <f t="shared" si="105"/>
        <v>#DIV/0!</v>
      </c>
      <c r="G156" s="32" t="e">
        <f t="shared" si="106"/>
        <v>#DIV/0!</v>
      </c>
      <c r="H156" s="32" t="e">
        <f t="shared" si="107"/>
        <v>#DIV/0!</v>
      </c>
      <c r="I156" s="32" t="e">
        <f t="shared" si="108"/>
        <v>#DIV/0!</v>
      </c>
      <c r="J156" s="32" t="e">
        <f t="shared" si="109"/>
        <v>#DIV/0!</v>
      </c>
      <c r="K156" s="33">
        <f t="shared" si="100"/>
        <v>0</v>
      </c>
      <c r="L156" s="34">
        <f t="shared" si="134"/>
        <v>0</v>
      </c>
      <c r="M156" s="33">
        <f t="shared" si="135"/>
        <v>0</v>
      </c>
      <c r="N156" s="34">
        <f t="shared" si="136"/>
        <v>0</v>
      </c>
      <c r="R156" s="16">
        <v>149</v>
      </c>
      <c r="S156" s="35"/>
      <c r="T156" s="32">
        <f t="shared" si="110"/>
        <v>6.3964700000000017</v>
      </c>
      <c r="U156" s="32">
        <f t="shared" si="111"/>
        <v>4.3797618818166538E-2</v>
      </c>
      <c r="V156" s="32">
        <f t="shared" si="112"/>
        <v>6.5278628564545009</v>
      </c>
      <c r="W156" s="32">
        <f t="shared" si="113"/>
        <v>6.2650771435455024</v>
      </c>
      <c r="X156" s="32">
        <f t="shared" si="114"/>
        <v>6.4840652376363348</v>
      </c>
      <c r="Y156" s="32">
        <f t="shared" si="115"/>
        <v>6.3088747623636685</v>
      </c>
      <c r="Z156" s="32">
        <f t="shared" si="116"/>
        <v>6.4402676188181678</v>
      </c>
      <c r="AA156" s="32">
        <f t="shared" si="117"/>
        <v>6.3526723811818355</v>
      </c>
      <c r="AB156" s="33">
        <f t="shared" si="137"/>
        <v>0</v>
      </c>
      <c r="AC156" s="34">
        <f t="shared" si="138"/>
        <v>4.2444444444444479E-2</v>
      </c>
      <c r="AD156" s="33">
        <f t="shared" si="139"/>
        <v>0</v>
      </c>
      <c r="AE156" s="34">
        <f t="shared" si="140"/>
        <v>0.13873391111111122</v>
      </c>
      <c r="AI156" s="16">
        <v>149</v>
      </c>
      <c r="AJ156" s="84"/>
      <c r="AK156" s="32">
        <f t="shared" si="118"/>
        <v>25.808199999999989</v>
      </c>
      <c r="AL156" s="32">
        <f t="shared" si="119"/>
        <v>7.4500084739969288E-2</v>
      </c>
      <c r="AM156" s="32">
        <f t="shared" si="120"/>
        <v>26.031700254219896</v>
      </c>
      <c r="AN156" s="32">
        <f t="shared" si="121"/>
        <v>25.584699745780082</v>
      </c>
      <c r="AO156" s="32">
        <f t="shared" si="122"/>
        <v>25.957200169479929</v>
      </c>
      <c r="AP156" s="32">
        <f t="shared" si="123"/>
        <v>25.659199830520048</v>
      </c>
      <c r="AQ156" s="32">
        <f t="shared" si="124"/>
        <v>25.882700084739959</v>
      </c>
      <c r="AR156" s="32">
        <f t="shared" si="125"/>
        <v>25.733699915260019</v>
      </c>
      <c r="AS156" s="33"/>
      <c r="AT156" s="34">
        <f t="shared" si="141"/>
        <v>6.6666666666666249E-2</v>
      </c>
      <c r="AU156" s="34">
        <f t="shared" si="142"/>
        <v>0</v>
      </c>
      <c r="AV156" s="34">
        <f t="shared" si="143"/>
        <v>0.21790666666666531</v>
      </c>
      <c r="AZ156" s="16">
        <v>149</v>
      </c>
      <c r="BA156" s="35"/>
      <c r="BB156" s="32">
        <f t="shared" si="126"/>
        <v>25.750800000000005</v>
      </c>
      <c r="BC156" s="32">
        <f t="shared" si="127"/>
        <v>5.7272695206019339E-2</v>
      </c>
      <c r="BD156" s="32">
        <f t="shared" si="128"/>
        <v>25.922618085618062</v>
      </c>
      <c r="BE156" s="32">
        <f t="shared" si="129"/>
        <v>25.578981914381949</v>
      </c>
      <c r="BF156" s="32">
        <f t="shared" si="130"/>
        <v>25.865345390412045</v>
      </c>
      <c r="BG156" s="32">
        <f t="shared" si="131"/>
        <v>25.636254609587965</v>
      </c>
      <c r="BH156" s="32">
        <f t="shared" si="132"/>
        <v>25.808072695206025</v>
      </c>
      <c r="BI156" s="32">
        <f t="shared" si="133"/>
        <v>25.693527304793985</v>
      </c>
      <c r="BJ156" s="33"/>
      <c r="BK156" s="34">
        <f t="shared" si="144"/>
        <v>3.6565656565656614E-2</v>
      </c>
      <c r="BL156" s="34">
        <f t="shared" si="145"/>
        <v>0</v>
      </c>
      <c r="BM156" s="34">
        <f t="shared" si="146"/>
        <v>0.11951850505050521</v>
      </c>
      <c r="BQ156" s="22">
        <v>149</v>
      </c>
      <c r="BR156" s="121" t="str">
        <f>IF(ISBLANK(Datos!B151),"",(ABS(Datos!B150-Datos!B151)))</f>
        <v/>
      </c>
      <c r="BS156" s="121" t="str">
        <f>IF(ISBLANK(Datos!C151),"",(ABS(Datos!C150-Datos!C151)))</f>
        <v/>
      </c>
      <c r="BT156" s="121" t="str">
        <f>IF(ISBLANK(Datos!D151),"",(ABS(Datos!D150-Datos!D151)))</f>
        <v/>
      </c>
      <c r="BU156" s="21" t="str">
        <f>IF(ISBLANK(Datos!E151),"",(ABS(Datos!E150-Datos!E151)))</f>
        <v/>
      </c>
    </row>
    <row r="157" spans="1:73" x14ac:dyDescent="0.3">
      <c r="A157" s="16">
        <v>150</v>
      </c>
      <c r="B157" s="35"/>
      <c r="C157" s="32" t="e">
        <f t="shared" si="102"/>
        <v>#DIV/0!</v>
      </c>
      <c r="D157" s="32" t="e">
        <f t="shared" si="103"/>
        <v>#DIV/0!</v>
      </c>
      <c r="E157" s="32" t="e">
        <f t="shared" si="104"/>
        <v>#DIV/0!</v>
      </c>
      <c r="F157" s="32" t="e">
        <f t="shared" si="105"/>
        <v>#DIV/0!</v>
      </c>
      <c r="G157" s="32" t="e">
        <f t="shared" si="106"/>
        <v>#DIV/0!</v>
      </c>
      <c r="H157" s="32" t="e">
        <f t="shared" si="107"/>
        <v>#DIV/0!</v>
      </c>
      <c r="I157" s="32" t="e">
        <f t="shared" si="108"/>
        <v>#DIV/0!</v>
      </c>
      <c r="J157" s="32" t="e">
        <f t="shared" si="109"/>
        <v>#DIV/0!</v>
      </c>
      <c r="K157" s="33">
        <f t="shared" si="100"/>
        <v>0</v>
      </c>
      <c r="L157" s="34">
        <f t="shared" si="134"/>
        <v>0</v>
      </c>
      <c r="M157" s="33">
        <f t="shared" si="135"/>
        <v>0</v>
      </c>
      <c r="N157" s="34">
        <f t="shared" si="136"/>
        <v>0</v>
      </c>
      <c r="R157" s="16">
        <v>150</v>
      </c>
      <c r="S157" s="35"/>
      <c r="T157" s="32">
        <f t="shared" si="110"/>
        <v>6.3964700000000017</v>
      </c>
      <c r="U157" s="32">
        <f t="shared" si="111"/>
        <v>4.3797618818166538E-2</v>
      </c>
      <c r="V157" s="32">
        <f t="shared" si="112"/>
        <v>6.5278628564545009</v>
      </c>
      <c r="W157" s="32">
        <f t="shared" si="113"/>
        <v>6.2650771435455024</v>
      </c>
      <c r="X157" s="32">
        <f t="shared" si="114"/>
        <v>6.4840652376363348</v>
      </c>
      <c r="Y157" s="32">
        <f t="shared" si="115"/>
        <v>6.3088747623636685</v>
      </c>
      <c r="Z157" s="32">
        <f t="shared" si="116"/>
        <v>6.4402676188181678</v>
      </c>
      <c r="AA157" s="32">
        <f t="shared" si="117"/>
        <v>6.3526723811818355</v>
      </c>
      <c r="AB157" s="33">
        <f t="shared" si="137"/>
        <v>0</v>
      </c>
      <c r="AC157" s="34">
        <f t="shared" si="138"/>
        <v>4.2444444444444479E-2</v>
      </c>
      <c r="AD157" s="33">
        <f t="shared" si="139"/>
        <v>0</v>
      </c>
      <c r="AE157" s="34">
        <f t="shared" si="140"/>
        <v>0.13873391111111122</v>
      </c>
      <c r="AI157" s="16">
        <v>150</v>
      </c>
      <c r="AJ157" s="84"/>
      <c r="AK157" s="32">
        <f t="shared" si="118"/>
        <v>25.808199999999989</v>
      </c>
      <c r="AL157" s="32">
        <f t="shared" si="119"/>
        <v>7.4500084739969288E-2</v>
      </c>
      <c r="AM157" s="32">
        <f t="shared" si="120"/>
        <v>26.031700254219896</v>
      </c>
      <c r="AN157" s="32">
        <f t="shared" si="121"/>
        <v>25.584699745780082</v>
      </c>
      <c r="AO157" s="32">
        <f t="shared" si="122"/>
        <v>25.957200169479929</v>
      </c>
      <c r="AP157" s="32">
        <f t="shared" si="123"/>
        <v>25.659199830520048</v>
      </c>
      <c r="AQ157" s="32">
        <f t="shared" si="124"/>
        <v>25.882700084739959</v>
      </c>
      <c r="AR157" s="32">
        <f t="shared" si="125"/>
        <v>25.733699915260019</v>
      </c>
      <c r="AS157" s="33"/>
      <c r="AT157" s="34">
        <f t="shared" si="141"/>
        <v>6.6666666666666249E-2</v>
      </c>
      <c r="AU157" s="34">
        <f t="shared" si="142"/>
        <v>0</v>
      </c>
      <c r="AV157" s="34">
        <f t="shared" si="143"/>
        <v>0.21790666666666531</v>
      </c>
      <c r="AZ157" s="16">
        <v>150</v>
      </c>
      <c r="BA157" s="35"/>
      <c r="BB157" s="32">
        <f t="shared" si="126"/>
        <v>25.750800000000005</v>
      </c>
      <c r="BC157" s="32">
        <f t="shared" si="127"/>
        <v>5.7272695206019339E-2</v>
      </c>
      <c r="BD157" s="32">
        <f t="shared" si="128"/>
        <v>25.922618085618062</v>
      </c>
      <c r="BE157" s="32">
        <f t="shared" si="129"/>
        <v>25.578981914381949</v>
      </c>
      <c r="BF157" s="32">
        <f t="shared" si="130"/>
        <v>25.865345390412045</v>
      </c>
      <c r="BG157" s="32">
        <f t="shared" si="131"/>
        <v>25.636254609587965</v>
      </c>
      <c r="BH157" s="32">
        <f t="shared" si="132"/>
        <v>25.808072695206025</v>
      </c>
      <c r="BI157" s="32">
        <f t="shared" si="133"/>
        <v>25.693527304793985</v>
      </c>
      <c r="BJ157" s="33"/>
      <c r="BK157" s="34">
        <f t="shared" si="144"/>
        <v>3.6565656565656614E-2</v>
      </c>
      <c r="BL157" s="34">
        <f t="shared" si="145"/>
        <v>0</v>
      </c>
      <c r="BM157" s="34">
        <f t="shared" si="146"/>
        <v>0.11951850505050521</v>
      </c>
      <c r="BQ157" s="22">
        <v>150</v>
      </c>
      <c r="BR157" s="121" t="str">
        <f>IF(ISBLANK(Datos!B152),"",(ABS(Datos!B151-Datos!B152)))</f>
        <v/>
      </c>
      <c r="BS157" s="121" t="str">
        <f>IF(ISBLANK(Datos!C152),"",(ABS(Datos!C151-Datos!C152)))</f>
        <v/>
      </c>
      <c r="BT157" s="121" t="str">
        <f>IF(ISBLANK(Datos!D152),"",(ABS(Datos!D151-Datos!D152)))</f>
        <v/>
      </c>
      <c r="BU157" s="21" t="str">
        <f>IF(ISBLANK(Datos!E152),"",(ABS(Datos!E151-Datos!E152)))</f>
        <v/>
      </c>
    </row>
    <row r="158" spans="1:73" x14ac:dyDescent="0.3">
      <c r="AI158" s="16"/>
      <c r="AJ158" s="84"/>
      <c r="AK158" s="32"/>
      <c r="AL158" s="32"/>
      <c r="AM158" s="32"/>
      <c r="AN158" s="32"/>
      <c r="AO158" s="32"/>
      <c r="AP158" s="32"/>
      <c r="AQ158" s="32"/>
      <c r="AR158" s="32"/>
      <c r="AS158" s="33"/>
      <c r="AT158" s="34"/>
      <c r="AU158" s="34"/>
      <c r="AV158" s="34"/>
    </row>
    <row r="159" spans="1:73" x14ac:dyDescent="0.3">
      <c r="AI159" s="16"/>
      <c r="AJ159" s="84"/>
      <c r="AK159" s="32"/>
      <c r="AL159" s="32"/>
      <c r="AM159" s="32"/>
      <c r="AN159" s="32"/>
      <c r="AO159" s="32"/>
      <c r="AP159" s="32"/>
      <c r="AQ159" s="32"/>
      <c r="AR159" s="32"/>
      <c r="AS159" s="33"/>
      <c r="AT159" s="34"/>
      <c r="AU159" s="34"/>
      <c r="AV159" s="34"/>
    </row>
    <row r="160" spans="1:73" x14ac:dyDescent="0.3">
      <c r="AI160" s="16"/>
      <c r="AJ160" s="84"/>
      <c r="AK160" s="32"/>
      <c r="AL160" s="32"/>
      <c r="AM160" s="32"/>
      <c r="AN160" s="32"/>
      <c r="AO160" s="32"/>
      <c r="AP160" s="32"/>
      <c r="AQ160" s="32"/>
      <c r="AR160" s="32"/>
      <c r="AS160" s="33"/>
      <c r="AT160" s="34"/>
      <c r="AU160" s="34"/>
      <c r="AV160" s="34"/>
    </row>
    <row r="161" spans="35:48" x14ac:dyDescent="0.3">
      <c r="AI161" s="16"/>
      <c r="AJ161" s="84"/>
      <c r="AK161" s="32"/>
      <c r="AL161" s="32"/>
      <c r="AM161" s="32"/>
      <c r="AN161" s="32"/>
      <c r="AO161" s="32"/>
      <c r="AP161" s="32"/>
      <c r="AQ161" s="32"/>
      <c r="AR161" s="32"/>
      <c r="AS161" s="33"/>
      <c r="AT161" s="34"/>
      <c r="AU161" s="34"/>
      <c r="AV161" s="34"/>
    </row>
    <row r="162" spans="35:48" x14ac:dyDescent="0.3">
      <c r="AI162" s="16"/>
      <c r="AJ162" s="84"/>
      <c r="AK162" s="32"/>
      <c r="AL162" s="32"/>
      <c r="AM162" s="32"/>
      <c r="AN162" s="32"/>
      <c r="AO162" s="32"/>
      <c r="AP162" s="32"/>
      <c r="AQ162" s="32"/>
      <c r="AR162" s="32"/>
      <c r="AS162" s="33"/>
      <c r="AT162" s="34"/>
      <c r="AU162" s="34"/>
      <c r="AV162" s="34"/>
    </row>
    <row r="163" spans="35:48" x14ac:dyDescent="0.3">
      <c r="AI163" s="16"/>
      <c r="AJ163" s="84"/>
      <c r="AK163" s="32"/>
      <c r="AL163" s="32"/>
      <c r="AM163" s="32"/>
      <c r="AN163" s="32"/>
      <c r="AO163" s="32"/>
      <c r="AP163" s="32"/>
      <c r="AQ163" s="32"/>
      <c r="AR163" s="32"/>
      <c r="AS163" s="33"/>
      <c r="AT163" s="34"/>
      <c r="AU163" s="34"/>
      <c r="AV163" s="34"/>
    </row>
    <row r="164" spans="35:48" x14ac:dyDescent="0.3">
      <c r="AI164" s="16"/>
      <c r="AJ164" s="84"/>
      <c r="AK164" s="32"/>
      <c r="AL164" s="32"/>
      <c r="AM164" s="32"/>
      <c r="AN164" s="32"/>
      <c r="AO164" s="32"/>
      <c r="AP164" s="32"/>
      <c r="AQ164" s="32"/>
      <c r="AR164" s="32"/>
      <c r="AS164" s="33"/>
      <c r="AT164" s="34"/>
      <c r="AU164" s="34"/>
      <c r="AV164" s="34"/>
    </row>
    <row r="212" spans="13:13" x14ac:dyDescent="0.3">
      <c r="M212" s="17">
        <f>6.26-6.53</f>
        <v>-0.27000000000000046</v>
      </c>
    </row>
  </sheetData>
  <mergeCells count="1">
    <mergeCell ref="C5:J5"/>
  </mergeCells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Instrucciones</vt:lpstr>
      <vt:lpstr>Ingreso</vt:lpstr>
      <vt:lpstr>Datos</vt:lpstr>
      <vt:lpstr>Resumen</vt:lpstr>
      <vt:lpstr>Hallazgos</vt:lpstr>
      <vt:lpstr>Carta 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Rodriguez</dc:creator>
  <cp:lastModifiedBy>Jesus Rodriguez</cp:lastModifiedBy>
  <dcterms:created xsi:type="dcterms:W3CDTF">2025-09-26T02:24:27Z</dcterms:created>
  <dcterms:modified xsi:type="dcterms:W3CDTF">2025-12-02T02:57:56Z</dcterms:modified>
</cp:coreProperties>
</file>