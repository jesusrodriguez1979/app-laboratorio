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jebus\OneDrive\Escritorio\Analisis de aceites\OBJETIVOS\2026\planillas creadas\"/>
    </mc:Choice>
  </mc:AlternateContent>
  <xr:revisionPtr revIDLastSave="0" documentId="13_ncr:20001_{BA755677-A93E-4E9F-BF61-DEDD280090EE}" xr6:coauthVersionLast="47" xr6:coauthVersionMax="47" xr10:uidLastSave="{00000000-0000-0000-0000-000000000000}"/>
  <bookViews>
    <workbookView xWindow="-108" yWindow="-108" windowWidth="23256" windowHeight="12456" activeTab="3" xr2:uid="{49BF3053-8476-4F32-B1BC-54577AB43035}"/>
  </bookViews>
  <sheets>
    <sheet name="📊 DASHBOARD" sheetId="1" r:id="rId1"/>
    <sheet name="OBJ1 - Capacitaciones MA" sheetId="2" r:id="rId2"/>
    <sheet name="OBJ2 - Cap. Lubricantes" sheetId="3" r:id="rId3"/>
    <sheet name="OBJ3 - Etiquetado Lubricantes" sheetId="4" r:id="rId4"/>
    <sheet name="OBJ4 - MTTR MTBF" sheetId="5" r:id="rId5"/>
    <sheet name="OBJ5 - Estrategia CBC" sheetId="6" r:id="rId6"/>
    <sheet name="OBJ6 - Cultura Seguridad" sheetId="7" r:id="rId7"/>
    <sheet name="OBJ7 - Cultura Ambiental" sheetId="8" r:id="rId8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13" i="1" l="1"/>
  <c r="F13" i="1"/>
  <c r="E13" i="1"/>
  <c r="D13" i="1"/>
  <c r="B2" i="8"/>
  <c r="F8" i="8"/>
  <c r="F9" i="8"/>
  <c r="F10" i="8"/>
  <c r="F11" i="8"/>
  <c r="F12" i="8"/>
  <c r="F13" i="8"/>
  <c r="F7" i="8"/>
  <c r="E14" i="8"/>
  <c r="F14" i="8" s="1"/>
  <c r="G12" i="1"/>
  <c r="F12" i="1"/>
  <c r="E12" i="1"/>
  <c r="D12" i="1"/>
  <c r="B2" i="7"/>
  <c r="F14" i="7"/>
  <c r="F8" i="7"/>
  <c r="F9" i="7"/>
  <c r="F10" i="7"/>
  <c r="F11" i="7"/>
  <c r="F12" i="7"/>
  <c r="F13" i="7"/>
  <c r="F7" i="7"/>
  <c r="E14" i="7"/>
  <c r="E11" i="1"/>
  <c r="D11" i="1"/>
  <c r="B2" i="6"/>
  <c r="F13" i="6"/>
  <c r="F8" i="6"/>
  <c r="F9" i="6"/>
  <c r="F10" i="6"/>
  <c r="F11" i="6"/>
  <c r="F12" i="6"/>
  <c r="F7" i="6"/>
  <c r="E14" i="6"/>
  <c r="G11" i="1" s="1"/>
  <c r="G10" i="1"/>
  <c r="F10" i="1"/>
  <c r="E10" i="1"/>
  <c r="D10" i="1"/>
  <c r="F14" i="5"/>
  <c r="F8" i="5"/>
  <c r="F9" i="5"/>
  <c r="F10" i="5"/>
  <c r="F11" i="5"/>
  <c r="F12" i="5"/>
  <c r="F13" i="5"/>
  <c r="F7" i="5"/>
  <c r="E14" i="5"/>
  <c r="E9" i="1"/>
  <c r="D9" i="1"/>
  <c r="F8" i="3"/>
  <c r="F9" i="3"/>
  <c r="F10" i="3"/>
  <c r="F11" i="3"/>
  <c r="F12" i="3"/>
  <c r="F13" i="3"/>
  <c r="F7" i="3"/>
  <c r="F8" i="2"/>
  <c r="F9" i="2"/>
  <c r="F10" i="2"/>
  <c r="F11" i="2"/>
  <c r="F12" i="2"/>
  <c r="F13" i="2"/>
  <c r="F7" i="2"/>
  <c r="F8" i="4"/>
  <c r="F9" i="4"/>
  <c r="F10" i="4"/>
  <c r="F11" i="4"/>
  <c r="F12" i="4"/>
  <c r="F13" i="4"/>
  <c r="F7" i="4"/>
  <c r="E14" i="4"/>
  <c r="F14" i="4" s="1"/>
  <c r="E8" i="1"/>
  <c r="D8" i="1"/>
  <c r="E14" i="3"/>
  <c r="F14" i="3" s="1"/>
  <c r="E7" i="1"/>
  <c r="D7" i="1"/>
  <c r="E14" i="2"/>
  <c r="G7" i="1" s="1"/>
  <c r="F9" i="1" l="1"/>
  <c r="J4" i="1" s="1"/>
  <c r="G9" i="1"/>
  <c r="C4" i="1" s="1"/>
  <c r="F14" i="2"/>
  <c r="F7" i="1"/>
  <c r="F14" i="6"/>
  <c r="F11" i="1"/>
  <c r="F8" i="1"/>
  <c r="G8" i="1"/>
  <c r="E4" i="1" l="1"/>
  <c r="G4" i="1"/>
</calcChain>
</file>

<file path=xl/sharedStrings.xml><?xml version="1.0" encoding="utf-8"?>
<sst xmlns="http://schemas.openxmlformats.org/spreadsheetml/2006/main" count="256" uniqueCount="161">
  <si>
    <t>PLAN DE OBJETIVOS PERSONALES 2026  |  Jesus Alberto Rodriguez</t>
  </si>
  <si>
    <t>Seguimiento de Objetivos Anuales  ·  Fecha de actualización: ver cada objetivo</t>
  </si>
  <si>
    <t>TOTAL
OBJETIVOS
7</t>
  </si>
  <si>
    <t>#</t>
  </si>
  <si>
    <t>OBJETIVO</t>
  </si>
  <si>
    <t>CATEGORÍA</t>
  </si>
  <si>
    <t>F. INICIO</t>
  </si>
  <si>
    <t>F. FIN</t>
  </si>
  <si>
    <t>% AVANCE</t>
  </si>
  <si>
    <t>ESTADO</t>
  </si>
  <si>
    <t>ETAPAS</t>
  </si>
  <si>
    <t>Completar formación en Medio Ambiente y Gestión de Calidad para capacitaciones técnicas al personal operativo</t>
  </si>
  <si>
    <t>Nuestra Dotación</t>
  </si>
  <si>
    <t>31/12/2026</t>
  </si>
  <si>
    <t>Capacitar integralmente al técnico de laboratorio de lubricantes para autonomía total</t>
  </si>
  <si>
    <t>Nuestra Gente</t>
  </si>
  <si>
    <t>31/03/2027</t>
  </si>
  <si>
    <t>Garantizar correcta disposición de lubricantes mediante sistema de etiquetado y cartillas técnicas</t>
  </si>
  <si>
    <t>Nuestro Desempeño</t>
  </si>
  <si>
    <t>Desarrollar competencias técnicas en Mantenimiento Proactivo y gestión de indicadores MTTR/MTBF</t>
  </si>
  <si>
    <t>Mejorar estrategia Condition-Based Component Change (CBC) mediante análisis oportuno de muestras</t>
  </si>
  <si>
    <t>Fortalecer la cultura de seguridad y desarrollo técnico del equipo de inspección</t>
  </si>
  <si>
    <t>Promover la cultura de cuidado ambiental en el equipo de mantenimiento</t>
  </si>
  <si>
    <t>LEYENDA DE CATEGORÍAS</t>
  </si>
  <si>
    <t>LEYENDA DE ESTADOS</t>
  </si>
  <si>
    <t xml:space="preserve">  ■  Nuestra Dotación</t>
  </si>
  <si>
    <t xml:space="preserve"> Pendiente  –  0% cumplimiento</t>
  </si>
  <si>
    <t xml:space="preserve">  ■  Nuestra Gente</t>
  </si>
  <si>
    <t xml:space="preserve"> En Progreso  –  1% – 49% cumplimiento</t>
  </si>
  <si>
    <t xml:space="preserve">  ■  Nuestro Desempeño</t>
  </si>
  <si>
    <t xml:space="preserve"> Avanzado  –  50% – 99% cumplimiento</t>
  </si>
  <si>
    <t xml:space="preserve"> Completado  –  100% cumplimiento</t>
  </si>
  <si>
    <t>📌 USO: Navegue a cada pestaña de objetivo (OBJ1-OBJ7) para ingresar fechas y porcentajes de cumplimiento por etapa. El Dashboard se actualiza automáticamente.</t>
  </si>
  <si>
    <t>Completar formación en Medio ambiente y Gestión de Calidad necesarias para la elaboración de capacitaciones técnicas a personal operativo enfocadas en el control de aspectos ambientales y control de calidad.</t>
  </si>
  <si>
    <t>📋 Categoría:</t>
  </si>
  <si>
    <t>📊  KPI DE MEDICIÓN</t>
  </si>
  <si>
    <t>Realizar 10 capacitaciones al personal durante el año. Deben tener firmas de participantes, ser informadas por correo electrónico y almacenadas en la nube.</t>
  </si>
  <si>
    <t>ETAPA</t>
  </si>
  <si>
    <t>DESCRIPCIÓN / ACTIVIDADES</t>
  </si>
  <si>
    <t>FECHA INICIO</t>
  </si>
  <si>
    <t>FECHA FIN</t>
  </si>
  <si>
    <t>% CUMPLIMIENTO</t>
  </si>
  <si>
    <t>Q1 – Formación personal en MA y Calidad</t>
  </si>
  <si>
    <t>Completar cursos de formación propios en MA y Gestión de Calidad</t>
  </si>
  <si>
    <t>Q1-Q2 – Diseño de material capacitación</t>
  </si>
  <si>
    <t>Elaborar material técnico para capacitaciones (presentaciones, guías)</t>
  </si>
  <si>
    <t>Q2 – Capacitaciones 1-3</t>
  </si>
  <si>
    <t>Ejecutar primeras 3 capacitaciones con lista de firmas y envío por correo</t>
  </si>
  <si>
    <t>Q3 – Capacitaciones 4-6</t>
  </si>
  <si>
    <t>Ejecutar capacitaciones 4 a 6, almacenar en nube</t>
  </si>
  <si>
    <t>Q3 – Capacitaciones 7-8</t>
  </si>
  <si>
    <t>Ejecutar capacitaciones 7 y 8</t>
  </si>
  <si>
    <t>Q4 – Capacitaciones 9-10</t>
  </si>
  <si>
    <t>Completar las últimas 2 capacitaciones del año</t>
  </si>
  <si>
    <t>Q4 – Cierre y verificación</t>
  </si>
  <si>
    <t>Verificar almacenamiento en nube, firmas y correos de todas las capacitaciones</t>
  </si>
  <si>
    <t>PROMEDIO DE CUMPLIMIENTO GENERAL</t>
  </si>
  <si>
    <t>💡 Instrucciones: Ingrese las fechas de inicio/fin de cada etapa y actualice el % de cumplimiento (valores entre 0 y 1, ej: 0.75 = 75%). El estado se actualizará automáticamente.</t>
  </si>
  <si>
    <t xml:space="preserve"> KPI DE MEDICIÓN</t>
  </si>
  <si>
    <t>Observaciones:</t>
  </si>
  <si>
    <t>Capacitar integralmente al personal técnico de laboratorio de lubricantes mediante un programa de horas prácticas en análisis de lubricantes, logrando que alcance el 100% de autonomía y competencia técnica necesarias para ejecutar suplencias de analista sin supervisión directa antes de marzo de 2027.</t>
  </si>
  <si>
    <t>Hojas de capacitación semanal (2 horas/semana) firmadas por la técnica, colocadas en carpeta compartida.</t>
  </si>
  <si>
    <t>Q1 – Diseño programa de capacitación</t>
  </si>
  <si>
    <t>Elaborar programa semanal de horas prácticas y carpeta compartida</t>
  </si>
  <si>
    <t>Capacitación: suplencias con supervisión mínima</t>
  </si>
  <si>
    <t>Q4 2026 – Evaluación intermedia</t>
  </si>
  <si>
    <t>Ejecutar suplencias independientes de analista</t>
  </si>
  <si>
    <t>Mar 2027 – Evaluación final autonomía 100%</t>
  </si>
  <si>
    <t>Cierre: técnico alcanza 100% autonomía y competencia</t>
  </si>
  <si>
    <t>Inicio:</t>
  </si>
  <si>
    <t>Fin:</t>
  </si>
  <si>
    <t xml:space="preserve"> Fin:</t>
  </si>
  <si>
    <t>Q2-Q3 – Ejecución semanas 13-26 (12 h)</t>
  </si>
  <si>
    <t>Q3-Q4 – Ejecución semanas 27-40 (12 h)</t>
  </si>
  <si>
    <t>Q4-Q1 2027 -  Ejecución semanas 41-53 (12 h)</t>
  </si>
  <si>
    <t>Q1 2027 – Suplencias sin supervisión (12 h)</t>
  </si>
  <si>
    <t>Garantizar la correcta disposición de lubricantes a través del desarrollo integral de un sistema de etiquetados y cartillas de referencias técnicas de los puntos críticos de equipos, compartida con el departamento, y colocación de etiquetas en equipos móviles para evitar carga cruzada.</t>
  </si>
  <si>
    <t>≥80% de equipos etiquetados con tipo de aceite. Difusión de cartilla respaldada por correo electrónico.</t>
  </si>
  <si>
    <t>Identificar todos los equipos y sus puntos de lubricación</t>
  </si>
  <si>
    <t>Q1 – Diseño cartilla de referencia técnica</t>
  </si>
  <si>
    <t>Elaborar cartilla técnica por equipo con tipo de lubricante</t>
  </si>
  <si>
    <t>Q2 – Difusión cartilla al departamento</t>
  </si>
  <si>
    <t>Compartir cartilla por correo y en carpeta compartida</t>
  </si>
  <si>
    <t>Creacion de etiquetas de componentes y lubricantes.</t>
  </si>
  <si>
    <t>Q3 – Etiquetado equipos móviles</t>
  </si>
  <si>
    <t>Q3 – Verificación cobertura ≥80%</t>
  </si>
  <si>
    <t>Auditar porcentaje de equipos etiquetados</t>
  </si>
  <si>
    <t>Q4 – Cierre y actualización cartilla</t>
  </si>
  <si>
    <t>Actualizar cartilla con cambios del año y archivar</t>
  </si>
  <si>
    <t>Instalar etiquetas en todos los equipos móviles prioritarios</t>
  </si>
  <si>
    <t>Desarrollar mis competencias técnicas y analíticas en Mantenimiento proactivo y ciclo de vida de activos. Cursos de 'INTRODUCCIÓN A LA CONFIABILIDAD' y 'GESTIÓN DE ACTIVOS FÍSICOS'. Llevar indicadores MTTR MTBF dentro del laboratorio.</t>
  </si>
  <si>
    <t>Datos de MTTR y MTBF registrados mensualmente desde Q2. Reducción de tiempos de detención por fallas en análisis de laboratorio.</t>
  </si>
  <si>
    <t>Q2 – Curso Introducción a la Confiabilidad</t>
  </si>
  <si>
    <t>Completar curso de Introducción a la Confiabilidad</t>
  </si>
  <si>
    <t>Q2 – Inicio registro MTTR/MTBF lab</t>
  </si>
  <si>
    <t>Implementar hoja de registro de fallas y tiempos de reparación</t>
  </si>
  <si>
    <t>Q2-Q3 – Curso Gestión de Activos Físicos</t>
  </si>
  <si>
    <t>Completar curso de Gestión de Activos Físicos</t>
  </si>
  <si>
    <t>Q3 – Análisis datos MTTR/MTBF Q2</t>
  </si>
  <si>
    <t>Analizar primeros datos e identificar patrones de falla</t>
  </si>
  <si>
    <t>Q3 – Decisiones estratégicas Q3</t>
  </si>
  <si>
    <t>Implementar acciones correctivas basadas en análisis</t>
  </si>
  <si>
    <t>Q4 – Análisis datos acumulados</t>
  </si>
  <si>
    <t>Análisis comparativo Q2 vs Q3 vs Q4</t>
  </si>
  <si>
    <t>Q4 – Informe anual indicadores lab</t>
  </si>
  <si>
    <t>Presentar informe de reducción de tiempos de detención</t>
  </si>
  <si>
    <t>OBSERVACIONES:  CV 03 Motor entra en garantia por fallo de bomba de lubricacion. CV 06: Transmision se cambia por fallo operativo.</t>
  </si>
  <si>
    <t>Mejorar la estrategia Condition-Based Component Change (CBC) mediante el análisis oportuno de muestras de fluidos y la generación de reportes técnicos que permitan identificar degradación de componentes y definir intervenciones antes de una falla funcional, contribuyendo a evitar pérdidas operativas.</t>
  </si>
  <si>
    <t>≥95% muestras analizadas en tiempo objetivo. ≥90% reportes con recomendación técnica CBC. ≥85% alertas de condición emitidas antes de falla funcional.</t>
  </si>
  <si>
    <t>Q1 – Definir tiempo objetivo análisis</t>
  </si>
  <si>
    <t>Establecer tiempos límite por tipo de muestra</t>
  </si>
  <si>
    <t>Q1 – Crear plantilla reporte técnico CBC</t>
  </si>
  <si>
    <t>Diseñar formato estándar de reporte con recomendaciones</t>
  </si>
  <si>
    <t>Q2 – Implementación y seguimiento mes 1-3</t>
  </si>
  <si>
    <t>Registrar tiempos de análisis y emisión de reportes</t>
  </si>
  <si>
    <t>Q2 – Evaluación KPI al cierre Q2</t>
  </si>
  <si>
    <t>Medir cumplimiento: ≥95% tiempo / ≥90% reportes</t>
  </si>
  <si>
    <t>Q3 – Mejora continua y alertas</t>
  </si>
  <si>
    <t>Implementar sistema de alertas tempranas de condición</t>
  </si>
  <si>
    <t>Q3 – Evaluación KPI alertas CBC</t>
  </si>
  <si>
    <t>Medir ≥85% alertas emitidas antes de falla funcional</t>
  </si>
  <si>
    <t>Q4 – Cierre anual y reporte de impacto</t>
  </si>
  <si>
    <t>Calcular pérdidas evitadas y mejoras logradas</t>
  </si>
  <si>
    <t>Fortalecer la cultura de seguridad y el desarrollo técnico del equipo de inspección mediante la participación activa en capacitaciones, el cumplimiento de estándares de seguridad en terreno y la promoción de buenas prácticas durante las actividades de inspección y mantenimiento.</t>
  </si>
  <si>
    <t>100% cumplimiento capacitaciones obligatorias de seguridad y técnicas. ≥2 participaciones trimestrales en charlas de lecciones aprendidas. 0 incidentes en actividades de inspección. Indicadores respaldados con correos.</t>
  </si>
  <si>
    <t>Cumplir 100% capacitaciones y ≥2 charlas Q3</t>
  </si>
  <si>
    <t>Q3 – Inspección terreno cultura seguridad</t>
  </si>
  <si>
    <t>Verificar cumplimiento de estándares en terreno</t>
  </si>
  <si>
    <t>Cumplir 100% capacitaciones y ≥2 charlas Q4</t>
  </si>
  <si>
    <t>Confirmar 0 incidentes anuales, archivar evidencias</t>
  </si>
  <si>
    <t>Asistir y completar todas las capacitaciones Q2</t>
  </si>
  <si>
    <t>Participar en ≥2 charlas de lecciones aprendidas Q2</t>
  </si>
  <si>
    <t>Q2 – Capacitaciones obligatorias seguridad</t>
  </si>
  <si>
    <t>Q2 – Charlas lecciones aprendidas (≥2)</t>
  </si>
  <si>
    <t>Q3 – Capacitaciones y charlas Q2</t>
  </si>
  <si>
    <t>Q4 – Capacitaciones y charlas Q3</t>
  </si>
  <si>
    <t>Cumplir 100% capacitaciones y ≥2 charlas Q1 2027</t>
  </si>
  <si>
    <t>Q1 2027 – Capacitaciones y charlas Q1</t>
  </si>
  <si>
    <t>Q4  – Cierre: 0 incidentes verificado</t>
  </si>
  <si>
    <t xml:space="preserve">  KPI DE MEDICIÓN</t>
  </si>
  <si>
    <t>Personal Tecnico en preparacion con parte medico por fractura originada en el periodo de franco, en Perito Moreno (T. ausencia: 6 meses aprox)- afecta realizacion de objetivos 1;2;6;7.</t>
  </si>
  <si>
    <t>Promover la cultura de cuidado ambiental dentro del equipo de mantenimiento mediante charlas técnicas sobre gestión responsable de fluidos, control de contaminación y manejo adecuado de residuos, fortaleciendo la conciencia ambiental en las actividades operativas.</t>
  </si>
  <si>
    <t>≥1 charla ambiental mensual. ≥80% participación del personal convocado con lista de asistencia. ≥2 acciones de mejora ambiental identificadas y documentadas por charla. Indicadores respaldados con correos.</t>
  </si>
  <si>
    <t>Realizar 3 charlas con listas de asistencia y envío por correo</t>
  </si>
  <si>
    <t>Realizar 3 charlas con ≥80% participación</t>
  </si>
  <si>
    <t>Q3 – Charlas ambientales julio-sept (3)</t>
  </si>
  <si>
    <t>Q2 – Charlas ambientales Abril-Junio (3)</t>
  </si>
  <si>
    <t>Q4 – Charlas oct-dic (3)</t>
  </si>
  <si>
    <t>Q1 2027 –Charlas ene-mar (3) +Informe  mejoras ambientales</t>
  </si>
  <si>
    <t>Generar informe consolidado de charlas y acciones implementadas. Completar Charlas ≥3</t>
  </si>
  <si>
    <t>Q2 – Acciones de mejora Q2 (≥6)</t>
  </si>
  <si>
    <t>Identificar y documentar ≥6 acciones de mejora en Q2</t>
  </si>
  <si>
    <t>Q3 – Acciones de mejora Q3 (≥6)</t>
  </si>
  <si>
    <t>Documentar e implementar ≥6 acciones de mejora Q3</t>
  </si>
  <si>
    <t>Q4– Acciones de mejora Q4 (≥6) + Informe anual  mejoras ambientales.</t>
  </si>
  <si>
    <t>Documentar e implementar ≥6 acciones de mejora Q4+ Generar informe consolidado de charlas y acciones implementadas.</t>
  </si>
  <si>
    <t xml:space="preserve"> Cumplimiento del objetivo afectadodebido al parte medico por Lesion en Tibia y Perone (Tiempo de Recuperacion : 6 meses) de la colaboradora tecnica.</t>
  </si>
  <si>
    <t>Q2 – Etiquetado equipos moviles (50%)</t>
  </si>
  <si>
    <t>Q1 – Relevamiento de equipos críticos (DB)</t>
  </si>
  <si>
    <t>A1</t>
  </si>
  <si>
    <t>AA1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</si>
</sst>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rgb="FFFFFFFF"/>
      <name val="Arial"/>
      <family val="2"/>
    </font>
    <font>
      <b/>
      <sz val="10"/>
      <color rgb="FFFFFFFF"/>
      <name val="Arial"/>
      <family val="2"/>
    </font>
    <font>
      <b/>
      <sz val="13"/>
      <color rgb="FFFFFFFF"/>
      <name val="Arial"/>
      <family val="2"/>
    </font>
    <font>
      <b/>
      <sz val="13"/>
      <color theme="1" tint="0.34998626667073579"/>
      <name val="Arial"/>
      <family val="2"/>
    </font>
    <font>
      <b/>
      <sz val="11"/>
      <color rgb="FFFFFFFF"/>
      <name val="Arial"/>
      <family val="2"/>
    </font>
    <font>
      <sz val="9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theme="1" tint="0.34998626667073579"/>
      <name val="Arial"/>
      <family val="2"/>
    </font>
    <font>
      <sz val="10"/>
      <color rgb="FF7F6000"/>
      <name val="Arial"/>
      <family val="2"/>
    </font>
    <font>
      <b/>
      <sz val="12"/>
      <color rgb="FFFFFFFF"/>
      <name val="Arial"/>
      <family val="2"/>
    </font>
    <font>
      <b/>
      <sz val="10"/>
      <color rgb="FFFFFFFF"/>
      <name val="Arial"/>
      <family val="2"/>
      <charset val="1"/>
    </font>
    <font>
      <sz val="10"/>
      <color rgb="FF000000"/>
      <name val="Arial"/>
      <family val="2"/>
    </font>
    <font>
      <b/>
      <sz val="9"/>
      <color rgb="FF595959"/>
      <name val="Arial"/>
      <family val="2"/>
    </font>
    <font>
      <sz val="9"/>
      <color rgb="FF7F6000"/>
      <name val="Arial"/>
      <family val="2"/>
    </font>
    <font>
      <sz val="8"/>
      <color rgb="FF000000"/>
      <name val="Arial"/>
      <family val="2"/>
    </font>
    <font>
      <b/>
      <sz val="13"/>
      <name val="Arial"/>
      <family val="2"/>
    </font>
    <font>
      <b/>
      <sz val="10"/>
      <color rgb="FF0070C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F3864"/>
        <bgColor rgb="FF333333"/>
      </patternFill>
    </fill>
    <fill>
      <patternFill patternType="solid">
        <fgColor rgb="FF2E75B6"/>
        <bgColor rgb="FF0066CC"/>
      </patternFill>
    </fill>
    <fill>
      <patternFill patternType="solid">
        <fgColor rgb="FFF9E463"/>
        <bgColor rgb="FFED7D31"/>
      </patternFill>
    </fill>
    <fill>
      <patternFill patternType="solid">
        <fgColor rgb="FF00B050"/>
        <bgColor rgb="FF339966"/>
      </patternFill>
    </fill>
    <fill>
      <patternFill patternType="solid">
        <fgColor rgb="FF595959"/>
        <bgColor rgb="FF7F6000"/>
      </patternFill>
    </fill>
    <fill>
      <patternFill patternType="solid">
        <fgColor rgb="FFFFFFFF"/>
        <bgColor rgb="FFF2F7FC"/>
      </patternFill>
    </fill>
    <fill>
      <patternFill patternType="solid">
        <fgColor rgb="FFED7D31"/>
        <bgColor rgb="FFF4A026"/>
      </patternFill>
    </fill>
    <fill>
      <patternFill patternType="solid">
        <fgColor rgb="FFF4A026"/>
        <bgColor rgb="FFED7D31"/>
      </patternFill>
    </fill>
    <fill>
      <patternFill patternType="solid">
        <fgColor rgb="FFF0F4F8"/>
        <bgColor rgb="FFF2F7FC"/>
      </patternFill>
    </fill>
    <fill>
      <patternFill patternType="solid">
        <fgColor rgb="FF70AD47"/>
        <bgColor rgb="FF339966"/>
      </patternFill>
    </fill>
    <fill>
      <patternFill patternType="solid">
        <fgColor theme="4" tint="0.59999389629810485"/>
        <bgColor rgb="FFF4A026"/>
      </patternFill>
    </fill>
    <fill>
      <patternFill patternType="solid">
        <fgColor theme="4" tint="-0.249977111117893"/>
        <bgColor rgb="FF0066CC"/>
      </patternFill>
    </fill>
    <fill>
      <patternFill patternType="solid">
        <fgColor theme="3" tint="0.39997558519241921"/>
        <bgColor rgb="FF0066CC"/>
      </patternFill>
    </fill>
    <fill>
      <patternFill patternType="solid">
        <fgColor rgb="FFFFF2CC"/>
        <bgColor rgb="FFF0F4F8"/>
      </patternFill>
    </fill>
    <fill>
      <patternFill patternType="solid">
        <fgColor rgb="FFF9E463"/>
        <bgColor indexed="64"/>
      </patternFill>
    </fill>
    <fill>
      <patternFill patternType="solid">
        <fgColor rgb="FFBDD7EE"/>
        <bgColor rgb="FFCCCCCC"/>
      </patternFill>
    </fill>
    <fill>
      <patternFill patternType="solid">
        <fgColor rgb="FFF2F7FC"/>
        <bgColor rgb="FFF0F4F8"/>
      </patternFill>
    </fill>
    <fill>
      <patternFill patternType="solid">
        <fgColor theme="3" tint="9.9978637043366805E-2"/>
        <bgColor rgb="FF333333"/>
      </patternFill>
    </fill>
    <fill>
      <patternFill patternType="solid">
        <fgColor theme="3"/>
        <bgColor rgb="FF333333"/>
      </patternFill>
    </fill>
    <fill>
      <patternFill patternType="solid">
        <fgColor theme="0"/>
        <bgColor rgb="FF0066CC"/>
      </patternFill>
    </fill>
    <fill>
      <patternFill patternType="solid">
        <fgColor theme="3"/>
        <bgColor rgb="FF0066CC"/>
      </patternFill>
    </fill>
  </fills>
  <borders count="13">
    <border>
      <left/>
      <right/>
      <top/>
      <bottom/>
      <diagonal/>
    </border>
    <border>
      <left style="thin">
        <color rgb="FFCCCCCC"/>
      </left>
      <right/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 style="thin">
        <color rgb="FFCCCCCC"/>
      </left>
      <right/>
      <top/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/>
      <top style="thin">
        <color rgb="FFCCCCCC"/>
      </top>
      <bottom/>
      <diagonal/>
    </border>
    <border>
      <left/>
      <right/>
      <top/>
      <bottom style="dashed">
        <color theme="1" tint="0.499984740745262"/>
      </bottom>
      <diagonal/>
    </border>
    <border>
      <left/>
      <right/>
      <top/>
      <bottom style="dashed">
        <color theme="0" tint="-0.499984740745262"/>
      </bottom>
      <diagonal/>
    </border>
    <border>
      <left/>
      <right/>
      <top style="dashed">
        <color theme="1" tint="0.499984740745262"/>
      </top>
      <bottom style="dashed">
        <color theme="0" tint="-0.499984740745262"/>
      </bottom>
      <diagonal/>
    </border>
    <border>
      <left/>
      <right/>
      <top style="dashed">
        <color theme="1" tint="0.499984740745262"/>
      </top>
      <bottom style="dashed">
        <color theme="1" tint="0.499984740745262"/>
      </bottom>
      <diagonal/>
    </border>
    <border>
      <left/>
      <right/>
      <top style="thin">
        <color rgb="FFCCCCCC"/>
      </top>
      <bottom style="dashed">
        <color theme="1" tint="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4">
    <xf numFmtId="0" fontId="0" fillId="0" borderId="0" xfId="0"/>
    <xf numFmtId="0" fontId="0" fillId="2" borderId="0" xfId="0" applyFill="1"/>
    <xf numFmtId="0" fontId="3" fillId="3" borderId="2" xfId="0" applyFont="1" applyFill="1" applyBorder="1" applyAlignment="1">
      <alignment horizontal="center" vertical="center" wrapText="1"/>
    </xf>
    <xf numFmtId="0" fontId="7" fillId="8" borderId="2" xfId="0" applyFont="1" applyFill="1" applyBorder="1" applyAlignment="1">
      <alignment horizontal="left" vertical="center" wrapText="1"/>
    </xf>
    <xf numFmtId="0" fontId="8" fillId="9" borderId="2" xfId="0" applyFont="1" applyFill="1" applyBorder="1" applyAlignment="1">
      <alignment horizontal="center" vertical="center" wrapText="1"/>
    </xf>
    <xf numFmtId="14" fontId="7" fillId="8" borderId="2" xfId="0" applyNumberFormat="1" applyFont="1" applyFill="1" applyBorder="1" applyAlignment="1">
      <alignment horizontal="center" vertical="center" wrapText="1"/>
    </xf>
    <xf numFmtId="0" fontId="7" fillId="8" borderId="2" xfId="0" applyFont="1" applyFill="1" applyBorder="1" applyAlignment="1">
      <alignment horizontal="center" vertical="center" wrapText="1"/>
    </xf>
    <xf numFmtId="9" fontId="6" fillId="10" borderId="2" xfId="0" applyNumberFormat="1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7" fillId="11" borderId="2" xfId="0" applyFont="1" applyFill="1" applyBorder="1" applyAlignment="1">
      <alignment horizontal="left" vertical="center" wrapText="1"/>
    </xf>
    <xf numFmtId="0" fontId="8" fillId="12" borderId="2" xfId="0" applyFont="1" applyFill="1" applyBorder="1" applyAlignment="1">
      <alignment horizontal="center" vertical="center" wrapText="1"/>
    </xf>
    <xf numFmtId="14" fontId="7" fillId="11" borderId="2" xfId="0" applyNumberFormat="1" applyFont="1" applyFill="1" applyBorder="1" applyAlignment="1">
      <alignment horizontal="center" vertical="center" wrapText="1"/>
    </xf>
    <xf numFmtId="0" fontId="7" fillId="11" borderId="2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14" fontId="13" fillId="8" borderId="2" xfId="0" applyNumberFormat="1" applyFont="1" applyFill="1" applyBorder="1" applyAlignment="1">
      <alignment horizontal="center" vertical="center" wrapText="1"/>
    </xf>
    <xf numFmtId="0" fontId="13" fillId="8" borderId="2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14" fillId="8" borderId="2" xfId="0" applyFont="1" applyFill="1" applyBorder="1" applyAlignment="1">
      <alignment horizontal="center" vertical="center" wrapText="1"/>
    </xf>
    <xf numFmtId="9" fontId="7" fillId="8" borderId="2" xfId="0" applyNumberFormat="1" applyFont="1" applyFill="1" applyBorder="1" applyAlignment="1">
      <alignment horizontal="center" vertical="center" wrapText="1"/>
    </xf>
    <xf numFmtId="0" fontId="14" fillId="19" borderId="2" xfId="0" applyFont="1" applyFill="1" applyBorder="1" applyAlignment="1">
      <alignment horizontal="center" vertical="center" wrapText="1"/>
    </xf>
    <xf numFmtId="0" fontId="7" fillId="19" borderId="2" xfId="0" applyFont="1" applyFill="1" applyBorder="1" applyAlignment="1">
      <alignment horizontal="left" vertical="center" wrapText="1"/>
    </xf>
    <xf numFmtId="14" fontId="7" fillId="19" borderId="2" xfId="0" applyNumberFormat="1" applyFont="1" applyFill="1" applyBorder="1" applyAlignment="1">
      <alignment horizontal="center" vertical="center" wrapText="1"/>
    </xf>
    <xf numFmtId="9" fontId="7" fillId="19" borderId="2" xfId="0" applyNumberFormat="1" applyFont="1" applyFill="1" applyBorder="1" applyAlignment="1">
      <alignment horizontal="center" vertical="center" wrapText="1"/>
    </xf>
    <xf numFmtId="0" fontId="0" fillId="2" borderId="8" xfId="0" applyFill="1" applyBorder="1"/>
    <xf numFmtId="0" fontId="0" fillId="2" borderId="10" xfId="0" applyFill="1" applyBorder="1"/>
    <xf numFmtId="0" fontId="0" fillId="2" borderId="9" xfId="0" applyFill="1" applyBorder="1"/>
    <xf numFmtId="0" fontId="3" fillId="12" borderId="0" xfId="0" applyFont="1" applyFill="1" applyAlignment="1">
      <alignment horizontal="center" vertical="center" wrapText="1"/>
    </xf>
    <xf numFmtId="0" fontId="0" fillId="2" borderId="7" xfId="0" applyFill="1" applyBorder="1" applyAlignment="1">
      <alignment vertical="center"/>
    </xf>
    <xf numFmtId="0" fontId="0" fillId="2" borderId="10" xfId="0" applyFill="1" applyBorder="1" applyAlignment="1">
      <alignment horizontal="center"/>
    </xf>
    <xf numFmtId="0" fontId="11" fillId="0" borderId="6" xfId="0" applyFont="1" applyBorder="1" applyAlignment="1">
      <alignment horizontal="center" vertical="center" wrapText="1"/>
    </xf>
    <xf numFmtId="0" fontId="3" fillId="12" borderId="12" xfId="0" applyFont="1" applyFill="1" applyBorder="1" applyAlignment="1">
      <alignment horizontal="center" vertical="center" wrapText="1"/>
    </xf>
    <xf numFmtId="14" fontId="16" fillId="19" borderId="2" xfId="0" applyNumberFormat="1" applyFont="1" applyFill="1" applyBorder="1" applyAlignment="1">
      <alignment horizontal="center" vertical="center" wrapText="1"/>
    </xf>
    <xf numFmtId="14" fontId="16" fillId="8" borderId="2" xfId="0" applyNumberFormat="1" applyFont="1" applyFill="1" applyBorder="1" applyAlignment="1">
      <alignment horizontal="center" vertical="center" wrapText="1"/>
    </xf>
    <xf numFmtId="0" fontId="17" fillId="17" borderId="1" xfId="1" applyNumberFormat="1" applyFont="1" applyFill="1" applyBorder="1" applyAlignment="1">
      <alignment horizontal="center" vertical="center" wrapText="1"/>
    </xf>
    <xf numFmtId="0" fontId="3" fillId="20" borderId="2" xfId="0" applyFont="1" applyFill="1" applyBorder="1" applyAlignment="1">
      <alignment horizontal="center" vertical="center" wrapText="1"/>
    </xf>
    <xf numFmtId="0" fontId="6" fillId="20" borderId="2" xfId="0" applyFont="1" applyFill="1" applyBorder="1" applyAlignment="1">
      <alignment horizontal="center" vertical="center" wrapText="1"/>
    </xf>
    <xf numFmtId="0" fontId="0" fillId="2" borderId="10" xfId="0" applyFill="1" applyBorder="1" applyAlignment="1">
      <alignment horizontal="left" vertical="center"/>
    </xf>
    <xf numFmtId="0" fontId="0" fillId="2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14" borderId="1" xfId="0" applyFont="1" applyFill="1" applyBorder="1" applyAlignment="1">
      <alignment horizontal="left" vertical="center" wrapText="1"/>
    </xf>
    <xf numFmtId="0" fontId="3" fillId="15" borderId="4" xfId="0" applyFont="1" applyFill="1" applyBorder="1" applyAlignment="1">
      <alignment horizontal="left" vertical="center" wrapText="1"/>
    </xf>
    <xf numFmtId="0" fontId="3" fillId="15" borderId="0" xfId="0" applyFont="1" applyFill="1" applyAlignment="1">
      <alignment horizontal="left" vertical="center" wrapText="1"/>
    </xf>
    <xf numFmtId="0" fontId="3" fillId="6" borderId="4" xfId="0" applyFont="1" applyFill="1" applyBorder="1" applyAlignment="1">
      <alignment horizontal="left" vertical="center" wrapText="1"/>
    </xf>
    <xf numFmtId="0" fontId="3" fillId="6" borderId="0" xfId="0" applyFont="1" applyFill="1" applyAlignment="1">
      <alignment horizontal="left" vertical="center" wrapText="1"/>
    </xf>
    <xf numFmtId="0" fontId="10" fillId="16" borderId="1" xfId="0" applyFont="1" applyFill="1" applyBorder="1" applyAlignment="1">
      <alignment horizontal="left" vertical="center" wrapText="1"/>
    </xf>
    <xf numFmtId="0" fontId="0" fillId="2" borderId="11" xfId="0" applyFill="1" applyBorder="1" applyAlignment="1">
      <alignment horizontal="left" vertical="center"/>
    </xf>
    <xf numFmtId="0" fontId="3" fillId="20" borderId="3" xfId="0" applyFont="1" applyFill="1" applyBorder="1" applyAlignment="1">
      <alignment horizontal="center" vertical="center" wrapText="1"/>
    </xf>
    <xf numFmtId="0" fontId="3" fillId="20" borderId="0" xfId="0" applyFont="1" applyFill="1" applyAlignment="1">
      <alignment horizontal="center" vertical="center" wrapText="1"/>
    </xf>
    <xf numFmtId="0" fontId="3" fillId="13" borderId="1" xfId="0" applyFont="1" applyFill="1" applyBorder="1" applyAlignment="1">
      <alignment horizontal="left" vertical="center" wrapText="1"/>
    </xf>
    <xf numFmtId="0" fontId="3" fillId="7" borderId="4" xfId="0" applyFont="1" applyFill="1" applyBorder="1" applyAlignment="1">
      <alignment horizontal="left" vertical="center" wrapText="1"/>
    </xf>
    <xf numFmtId="0" fontId="3" fillId="7" borderId="0" xfId="0" applyFont="1" applyFill="1" applyAlignment="1">
      <alignment horizontal="left" vertical="center" wrapText="1"/>
    </xf>
    <xf numFmtId="0" fontId="3" fillId="6" borderId="1" xfId="0" applyFont="1" applyFill="1" applyBorder="1" applyAlignment="1">
      <alignment horizontal="left" vertical="center" wrapText="1"/>
    </xf>
    <xf numFmtId="0" fontId="9" fillId="5" borderId="4" xfId="0" applyFont="1" applyFill="1" applyBorder="1" applyAlignment="1">
      <alignment horizontal="left" vertical="center" wrapText="1"/>
    </xf>
    <xf numFmtId="0" fontId="9" fillId="5" borderId="0" xfId="0" applyFont="1" applyFill="1" applyAlignment="1">
      <alignment horizontal="left" vertical="center" wrapText="1"/>
    </xf>
    <xf numFmtId="0" fontId="2" fillId="21" borderId="0" xfId="0" applyFont="1" applyFill="1" applyAlignment="1">
      <alignment horizontal="center" vertical="center" wrapText="1"/>
    </xf>
    <xf numFmtId="0" fontId="18" fillId="22" borderId="0" xfId="0" applyFont="1" applyFill="1" applyAlignment="1">
      <alignment horizontal="center" vertical="center" wrapText="1"/>
    </xf>
    <xf numFmtId="0" fontId="4" fillId="23" borderId="1" xfId="0" applyFont="1" applyFill="1" applyBorder="1" applyAlignment="1">
      <alignment horizontal="center" vertical="center" wrapText="1"/>
    </xf>
    <xf numFmtId="0" fontId="5" fillId="5" borderId="1" xfId="0" quotePrefix="1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0" fillId="2" borderId="7" xfId="0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 wrapText="1"/>
    </xf>
    <xf numFmtId="0" fontId="11" fillId="9" borderId="0" xfId="0" applyFont="1" applyFill="1" applyAlignment="1">
      <alignment horizontal="left" vertical="center" wrapText="1"/>
    </xf>
    <xf numFmtId="0" fontId="6" fillId="3" borderId="0" xfId="0" applyFont="1" applyFill="1" applyAlignment="1">
      <alignment horizontal="center" vertical="center" wrapText="1"/>
    </xf>
    <xf numFmtId="0" fontId="7" fillId="18" borderId="0" xfId="0" applyFont="1" applyFill="1" applyAlignment="1">
      <alignment horizontal="center" vertical="center" wrapText="1"/>
    </xf>
    <xf numFmtId="0" fontId="15" fillId="16" borderId="4" xfId="0" applyFont="1" applyFill="1" applyBorder="1" applyAlignment="1">
      <alignment horizontal="center" vertical="center" wrapText="1"/>
    </xf>
    <xf numFmtId="0" fontId="15" fillId="16" borderId="0" xfId="0" applyFont="1" applyFill="1" applyAlignment="1">
      <alignment horizontal="center" vertical="center" wrapText="1"/>
    </xf>
    <xf numFmtId="0" fontId="11" fillId="12" borderId="0" xfId="0" applyFont="1" applyFill="1" applyAlignment="1">
      <alignment horizontal="center" vertical="center" wrapText="1"/>
    </xf>
    <xf numFmtId="0" fontId="15" fillId="16" borderId="4" xfId="0" applyFont="1" applyFill="1" applyBorder="1" applyAlignment="1">
      <alignment horizontal="left" vertical="center" wrapText="1"/>
    </xf>
    <xf numFmtId="0" fontId="15" fillId="16" borderId="0" xfId="0" applyFont="1" applyFill="1" applyAlignment="1">
      <alignment horizontal="left" vertical="center" wrapText="1"/>
    </xf>
  </cellXfs>
  <cellStyles count="2">
    <cellStyle name="Normal" xfId="0" builtinId="0"/>
    <cellStyle name="Porcentaje" xfId="1" builtinId="5"/>
  </cellStyles>
  <dxfs count="7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9E463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4" tint="-0.24994659260841701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4" tint="-0.2499465926084170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9E463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4" tint="-0.24994659260841701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4" tint="-0.2499465926084170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9E463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4" tint="-0.24994659260841701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4" tint="-0.2499465926084170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9E463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4" tint="-0.24994659260841701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4" tint="-0.2499465926084170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9E463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4" tint="-0.24994659260841701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4" tint="-0.2499465926084170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9E463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4" tint="-0.2499465926084170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9E463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1" tint="0.34998626667073579"/>
      </font>
      <fill>
        <patternFill>
          <bgColor rgb="FF00B050"/>
        </patternFill>
      </fill>
    </dxf>
    <dxf>
      <font>
        <b/>
        <i val="0"/>
        <color theme="1" tint="0.34998626667073579"/>
      </font>
      <fill>
        <patternFill>
          <bgColor rgb="FF0070C0"/>
        </patternFill>
      </fill>
    </dxf>
    <dxf>
      <font>
        <b/>
        <i val="0"/>
        <color theme="1" tint="0.34998626667073579"/>
      </font>
      <fill>
        <patternFill>
          <bgColor rgb="FFF9E463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 tint="0.34998626667073579"/>
      </font>
      <fill>
        <patternFill>
          <bgColor rgb="FFF9E463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4" tint="-0.24994659260841701"/>
        </patternFill>
      </fill>
    </dxf>
  </dxfs>
  <tableStyles count="0" defaultTableStyle="TableStyleMedium2" defaultPivotStyle="PivotStyleLight16"/>
  <colors>
    <mruColors>
      <color rgb="FF22609E"/>
      <color rgb="FFF9E4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71CC0-DF81-4856-A506-F6E0FCE89F44}">
  <dimension ref="A1:J25"/>
  <sheetViews>
    <sheetView zoomScale="70" zoomScaleNormal="70" workbookViewId="0">
      <selection activeCell="K10" sqref="K10"/>
    </sheetView>
  </sheetViews>
  <sheetFormatPr baseColWidth="10" defaultRowHeight="14.4" x14ac:dyDescent="0.3"/>
  <cols>
    <col min="1" max="1" width="6" style="1" customWidth="1"/>
    <col min="2" max="2" width="40.77734375" style="1" customWidth="1"/>
    <col min="3" max="3" width="19.77734375" style="1" customWidth="1"/>
    <col min="4" max="5" width="14.77734375" style="1" customWidth="1"/>
    <col min="6" max="6" width="16" style="1" customWidth="1"/>
    <col min="7" max="7" width="18" style="1" customWidth="1"/>
    <col min="8" max="8" width="22" style="1" customWidth="1"/>
    <col min="9" max="9" width="11.5546875" style="1"/>
    <col min="10" max="10" width="26.21875" style="1" customWidth="1"/>
    <col min="11" max="16384" width="11.5546875" style="1"/>
  </cols>
  <sheetData>
    <row r="1" spans="1:10" ht="22.8" x14ac:dyDescent="0.3">
      <c r="A1" s="57" t="s">
        <v>0</v>
      </c>
      <c r="B1" s="57"/>
      <c r="C1" s="57"/>
      <c r="D1" s="57"/>
      <c r="E1" s="57"/>
      <c r="F1" s="57"/>
      <c r="G1" s="57"/>
      <c r="H1" s="57"/>
    </row>
    <row r="2" spans="1:10" x14ac:dyDescent="0.3">
      <c r="A2" s="58" t="s">
        <v>1</v>
      </c>
      <c r="B2" s="58"/>
      <c r="C2" s="58"/>
      <c r="D2" s="58"/>
      <c r="E2" s="58"/>
      <c r="F2" s="58"/>
      <c r="G2" s="58"/>
      <c r="H2" s="58"/>
    </row>
    <row r="3" spans="1:10" ht="4.95" customHeight="1" x14ac:dyDescent="0.3"/>
    <row r="4" spans="1:10" ht="51" customHeight="1" x14ac:dyDescent="0.3">
      <c r="A4" s="59" t="s">
        <v>2</v>
      </c>
      <c r="B4" s="59"/>
      <c r="C4" s="60" t="str">
        <f>" EN PROGRESO: " &amp; COUNTIF(G7:G13,"En Progreso")+ COUNTIF(G7:G13,"Avanzado")</f>
        <v xml:space="preserve"> EN PROGRESO: 7</v>
      </c>
      <c r="D4" s="61"/>
      <c r="E4" s="62" t="str">
        <f>"COMPLETADOS:" &amp; COUNTIF(G7:G13,"✅ Completado")</f>
        <v>COMPLETADOS:0</v>
      </c>
      <c r="F4" s="62"/>
      <c r="G4" s="63" t="str">
        <f>"PENDIENTES:" &amp;
COUNTIF(G7:G13,"⏳ Pendiente")</f>
        <v>PENDIENTES:0</v>
      </c>
      <c r="H4" s="63"/>
      <c r="J4" s="36" t="str">
        <f>"CUMPLIMIENTO TOTAL" &amp; " "&amp; (ROUND(100*AVERAGE(F7:F13),0)) &amp;"%"</f>
        <v>CUMPLIMIENTO TOTAL 36%</v>
      </c>
    </row>
    <row r="5" spans="1:10" ht="4.95" customHeight="1" x14ac:dyDescent="0.3"/>
    <row r="6" spans="1:10" x14ac:dyDescent="0.3">
      <c r="A6" s="37" t="s">
        <v>3</v>
      </c>
      <c r="B6" s="37" t="s">
        <v>4</v>
      </c>
      <c r="C6" s="37" t="s">
        <v>5</v>
      </c>
      <c r="D6" s="37" t="s">
        <v>6</v>
      </c>
      <c r="E6" s="37" t="s">
        <v>7</v>
      </c>
      <c r="F6" s="37" t="s">
        <v>8</v>
      </c>
      <c r="G6" s="37" t="s">
        <v>9</v>
      </c>
      <c r="H6" s="37" t="s">
        <v>10</v>
      </c>
    </row>
    <row r="7" spans="1:10" ht="34.950000000000003" customHeight="1" x14ac:dyDescent="0.3">
      <c r="A7" s="38">
        <v>1</v>
      </c>
      <c r="B7" s="3" t="s">
        <v>11</v>
      </c>
      <c r="C7" s="4" t="s">
        <v>12</v>
      </c>
      <c r="D7" s="5">
        <f>'OBJ1 - Capacitaciones MA'!D2</f>
        <v>46101</v>
      </c>
      <c r="E7" s="6" t="str">
        <f>'OBJ1 - Capacitaciones MA'!F2</f>
        <v>31/12/2026</v>
      </c>
      <c r="F7" s="7">
        <f>'OBJ1 - Capacitaciones MA'!E14</f>
        <v>0.25714285714285717</v>
      </c>
      <c r="G7" s="8" t="str">
        <f>IF('OBJ1 - Capacitaciones MA'!E14=0,"⏳ Pendiente",IF('OBJ1 - Capacitaciones MA'!E14&lt;0.5,"En Progreso",IF('OBJ1 - Capacitaciones MA'!E14&lt;1,"Avanzado","✅ Completado")))</f>
        <v>En Progreso</v>
      </c>
      <c r="H7" s="6">
        <v>7</v>
      </c>
    </row>
    <row r="8" spans="1:10" ht="34.950000000000003" customHeight="1" x14ac:dyDescent="0.3">
      <c r="A8" s="38">
        <v>2</v>
      </c>
      <c r="B8" s="9" t="s">
        <v>14</v>
      </c>
      <c r="C8" s="10" t="s">
        <v>15</v>
      </c>
      <c r="D8" s="11">
        <f>'OBJ2 - Cap. Lubricantes'!D2</f>
        <v>46101</v>
      </c>
      <c r="E8" s="12" t="str">
        <f>'OBJ2 - Cap. Lubricantes'!F2</f>
        <v>31/03/2027</v>
      </c>
      <c r="F8" s="7">
        <f>'OBJ2 - Cap. Lubricantes'!E14</f>
        <v>0.23857142857142857</v>
      </c>
      <c r="G8" s="8" t="str">
        <f>IF('OBJ2 - Cap. Lubricantes'!E14=0,"⏳ Pendiente",IF('OBJ2 - Cap. Lubricantes'!E14&lt;0.5,"En Progreso",IF('OBJ2 - Cap. Lubricantes'!E14&lt;1,"Avanzado","✅ Completado")))</f>
        <v>En Progreso</v>
      </c>
      <c r="H8" s="12">
        <v>7</v>
      </c>
    </row>
    <row r="9" spans="1:10" ht="34.950000000000003" customHeight="1" x14ac:dyDescent="0.3">
      <c r="A9" s="38">
        <v>3</v>
      </c>
      <c r="B9" s="3" t="s">
        <v>17</v>
      </c>
      <c r="C9" s="13" t="s">
        <v>18</v>
      </c>
      <c r="D9" s="5">
        <f>'OBJ3 - Etiquetado Lubricantes'!D2</f>
        <v>46101</v>
      </c>
      <c r="E9" s="6" t="str">
        <f>'OBJ3 - Etiquetado Lubricantes'!F2</f>
        <v>31/12/2026</v>
      </c>
      <c r="F9" s="7">
        <f>'OBJ3 - Etiquetado Lubricantes'!E14</f>
        <v>0.37142857142857144</v>
      </c>
      <c r="G9" s="8" t="str">
        <f>IF('OBJ3 - Etiquetado Lubricantes'!E14=0,"Pendiente",IF('OBJ3 - Etiquetado Lubricantes'!E14&lt;0.5,"En Progreso",IF('OBJ3 - Etiquetado Lubricantes'!E14&lt;1,"Avanzado","Completado")))</f>
        <v>En Progreso</v>
      </c>
      <c r="H9" s="6">
        <v>7</v>
      </c>
    </row>
    <row r="10" spans="1:10" ht="34.950000000000003" customHeight="1" x14ac:dyDescent="0.3">
      <c r="A10" s="38">
        <v>4</v>
      </c>
      <c r="B10" s="9" t="s">
        <v>19</v>
      </c>
      <c r="C10" s="13" t="s">
        <v>18</v>
      </c>
      <c r="D10" s="11">
        <f>'OBJ4 - MTTR MTBF'!D2</f>
        <v>46101</v>
      </c>
      <c r="E10" s="12" t="str">
        <f>'OBJ4 - MTTR MTBF'!F2</f>
        <v>31/12/2026</v>
      </c>
      <c r="F10" s="7">
        <f>'OBJ4 - MTTR MTBF'!E14</f>
        <v>0.5</v>
      </c>
      <c r="G10" s="8" t="str">
        <f>IF('OBJ4 - MTTR MTBF'!E14=0,"Pendiente",IF('OBJ4 - MTTR MTBF'!E14&lt;0.5,"En Progreso",IF('OBJ4 - MTTR MTBF'!E14&lt;1,"Avanzado","Completado")))</f>
        <v>Avanzado</v>
      </c>
      <c r="H10" s="12">
        <v>7</v>
      </c>
    </row>
    <row r="11" spans="1:10" ht="34.950000000000003" customHeight="1" x14ac:dyDescent="0.3">
      <c r="A11" s="38">
        <v>5</v>
      </c>
      <c r="B11" s="3" t="s">
        <v>20</v>
      </c>
      <c r="C11" s="13" t="s">
        <v>18</v>
      </c>
      <c r="D11" s="5">
        <f>'OBJ5 - Estrategia CBC'!D2</f>
        <v>46102</v>
      </c>
      <c r="E11" s="6" t="str">
        <f>'OBJ5 - Estrategia CBC'!F2</f>
        <v>31/12/2026</v>
      </c>
      <c r="F11" s="7">
        <f>'OBJ5 - Estrategia CBC'!E14</f>
        <v>0.6071428571428571</v>
      </c>
      <c r="G11" s="8" t="str">
        <f>IF('OBJ5 - Estrategia CBC'!E14=0,"Pendiente",IF('OBJ5 - Estrategia CBC'!E14&lt;0.5,"En Progreso",IF('OBJ5 - Estrategia CBC'!E14&lt;1,"Avanzado","Completado")))</f>
        <v>Avanzado</v>
      </c>
      <c r="H11" s="6">
        <v>7</v>
      </c>
    </row>
    <row r="12" spans="1:10" ht="34.950000000000003" customHeight="1" x14ac:dyDescent="0.3">
      <c r="A12" s="38">
        <v>6</v>
      </c>
      <c r="B12" s="9" t="s">
        <v>21</v>
      </c>
      <c r="C12" s="10" t="s">
        <v>15</v>
      </c>
      <c r="D12" s="11">
        <f>'OBJ6 - Cultura Seguridad'!D2</f>
        <v>46102</v>
      </c>
      <c r="E12" s="12" t="str">
        <f>'OBJ6 - Cultura Seguridad'!F2</f>
        <v>31/12/2026</v>
      </c>
      <c r="F12" s="7">
        <f>'OBJ6 - Cultura Seguridad'!E14</f>
        <v>0.35714285714285715</v>
      </c>
      <c r="G12" s="8" t="str">
        <f>IF('OBJ6 - Cultura Seguridad'!E14=0,"Pendiente",IF('OBJ6 - Cultura Seguridad'!E14&lt;0.5,"En Progreso",IF('OBJ6 - Cultura Seguridad'!E14&lt;1,"Avanzado"," Completado")))</f>
        <v>En Progreso</v>
      </c>
      <c r="H12" s="12">
        <v>7</v>
      </c>
    </row>
    <row r="13" spans="1:10" ht="34.950000000000003" customHeight="1" x14ac:dyDescent="0.3">
      <c r="A13" s="38">
        <v>7</v>
      </c>
      <c r="B13" s="3" t="s">
        <v>22</v>
      </c>
      <c r="C13" s="4" t="s">
        <v>12</v>
      </c>
      <c r="D13" s="5">
        <f>'OBJ7 - Cultura Ambiental'!D2</f>
        <v>46102</v>
      </c>
      <c r="E13" s="5">
        <f>'OBJ7 - Cultura Ambiental'!F2</f>
        <v>46476</v>
      </c>
      <c r="F13" s="7">
        <f>'OBJ7 - Cultura Ambiental'!E14</f>
        <v>0.18571428571428572</v>
      </c>
      <c r="G13" s="8" t="str">
        <f>IF('OBJ7 - Cultura Ambiental'!E14=0,"Pendiente",IF('OBJ7 - Cultura Ambiental'!E14&lt;0.5,"En Progreso",IF('OBJ7 - Cultura Ambiental'!E14&lt;1,"Avanzado","Completado")))</f>
        <v>En Progreso</v>
      </c>
      <c r="H13" s="6">
        <v>7</v>
      </c>
    </row>
    <row r="14" spans="1:10" ht="4.95" customHeight="1" x14ac:dyDescent="0.3"/>
    <row r="15" spans="1:10" x14ac:dyDescent="0.3">
      <c r="A15" s="49" t="s">
        <v>23</v>
      </c>
      <c r="B15" s="49"/>
      <c r="C15" s="49"/>
      <c r="D15" s="50" t="s">
        <v>24</v>
      </c>
      <c r="E15" s="50"/>
      <c r="F15" s="50"/>
      <c r="G15" s="50"/>
      <c r="H15" s="50"/>
    </row>
    <row r="16" spans="1:10" x14ac:dyDescent="0.3">
      <c r="A16" s="51" t="s">
        <v>25</v>
      </c>
      <c r="B16" s="51"/>
      <c r="C16" s="51"/>
      <c r="D16" s="52" t="s">
        <v>26</v>
      </c>
      <c r="E16" s="53"/>
      <c r="F16" s="53"/>
      <c r="G16" s="53"/>
      <c r="H16" s="53"/>
    </row>
    <row r="17" spans="1:8" x14ac:dyDescent="0.3">
      <c r="A17" s="54" t="s">
        <v>27</v>
      </c>
      <c r="B17" s="54"/>
      <c r="C17" s="54"/>
      <c r="D17" s="55" t="s">
        <v>28</v>
      </c>
      <c r="E17" s="56"/>
      <c r="F17" s="56"/>
      <c r="G17" s="56"/>
      <c r="H17" s="56"/>
    </row>
    <row r="18" spans="1:8" x14ac:dyDescent="0.3">
      <c r="A18" s="42" t="s">
        <v>29</v>
      </c>
      <c r="B18" s="42"/>
      <c r="C18" s="42"/>
      <c r="D18" s="43" t="s">
        <v>30</v>
      </c>
      <c r="E18" s="44"/>
      <c r="F18" s="44"/>
      <c r="G18" s="44"/>
      <c r="H18" s="44"/>
    </row>
    <row r="19" spans="1:8" x14ac:dyDescent="0.3">
      <c r="D19" s="45" t="s">
        <v>31</v>
      </c>
      <c r="E19" s="46"/>
      <c r="F19" s="46"/>
      <c r="G19" s="46"/>
      <c r="H19" s="46"/>
    </row>
    <row r="20" spans="1:8" ht="4.95" customHeight="1" x14ac:dyDescent="0.3"/>
    <row r="21" spans="1:8" x14ac:dyDescent="0.3">
      <c r="A21" s="47" t="s">
        <v>32</v>
      </c>
      <c r="B21" s="47"/>
      <c r="C21" s="47"/>
      <c r="D21" s="47"/>
      <c r="E21" s="47"/>
      <c r="F21" s="47"/>
      <c r="G21" s="47"/>
      <c r="H21" s="47"/>
    </row>
    <row r="22" spans="1:8" x14ac:dyDescent="0.3">
      <c r="A22" s="48" t="s">
        <v>106</v>
      </c>
      <c r="B22" s="48"/>
      <c r="C22" s="48"/>
      <c r="D22" s="48"/>
      <c r="E22" s="48"/>
      <c r="F22" s="48"/>
      <c r="G22" s="48"/>
      <c r="H22" s="48"/>
    </row>
    <row r="23" spans="1:8" x14ac:dyDescent="0.3">
      <c r="A23" s="39" t="s">
        <v>140</v>
      </c>
      <c r="B23" s="39"/>
      <c r="C23" s="39"/>
      <c r="D23" s="39"/>
      <c r="E23" s="39"/>
      <c r="F23" s="39"/>
      <c r="G23" s="39"/>
      <c r="H23" s="39"/>
    </row>
    <row r="24" spans="1:8" x14ac:dyDescent="0.3">
      <c r="A24" s="40"/>
      <c r="B24" s="40"/>
      <c r="C24" s="40"/>
      <c r="D24" s="40"/>
      <c r="E24" s="40"/>
      <c r="F24" s="40"/>
      <c r="G24" s="40"/>
      <c r="H24" s="40"/>
    </row>
    <row r="25" spans="1:8" x14ac:dyDescent="0.3">
      <c r="A25" s="41"/>
      <c r="B25" s="41"/>
      <c r="C25" s="41"/>
      <c r="D25" s="41"/>
      <c r="E25" s="41"/>
      <c r="F25" s="41"/>
      <c r="G25" s="41"/>
      <c r="H25" s="41"/>
    </row>
  </sheetData>
  <mergeCells count="20">
    <mergeCell ref="A1:H1"/>
    <mergeCell ref="A2:H2"/>
    <mergeCell ref="A4:B4"/>
    <mergeCell ref="C4:D4"/>
    <mergeCell ref="E4:F4"/>
    <mergeCell ref="G4:H4"/>
    <mergeCell ref="A15:C15"/>
    <mergeCell ref="D15:H15"/>
    <mergeCell ref="A16:C16"/>
    <mergeCell ref="D16:H16"/>
    <mergeCell ref="A17:C17"/>
    <mergeCell ref="D17:H17"/>
    <mergeCell ref="A23:H23"/>
    <mergeCell ref="A24:H24"/>
    <mergeCell ref="A25:H25"/>
    <mergeCell ref="A18:C18"/>
    <mergeCell ref="D18:H18"/>
    <mergeCell ref="D19:H19"/>
    <mergeCell ref="A21:H21"/>
    <mergeCell ref="A22:H22"/>
  </mergeCells>
  <conditionalFormatting sqref="C7:C13">
    <cfRule type="cellIs" dxfId="73" priority="5" operator="equal">
      <formula>"Nuestro Desempeño"</formula>
    </cfRule>
    <cfRule type="cellIs" dxfId="72" priority="6" operator="equal">
      <formula>"Nuestra Gente"</formula>
    </cfRule>
    <cfRule type="cellIs" dxfId="71" priority="7" operator="equal">
      <formula>"Nuestra Dotación"</formula>
    </cfRule>
  </conditionalFormatting>
  <conditionalFormatting sqref="F7:F13">
    <cfRule type="colorScale" priority="11">
      <colorScale>
        <cfvo type="num" val="0"/>
        <cfvo type="num" val="0.5"/>
        <cfvo type="num" val="1"/>
        <color rgb="FFFF0000"/>
        <color rgb="FFFFFF00"/>
        <color rgb="FF70AD47"/>
      </colorScale>
    </cfRule>
  </conditionalFormatting>
  <conditionalFormatting sqref="G7:G13">
    <cfRule type="cellIs" dxfId="70" priority="8" operator="equal">
      <formula>"Completado"</formula>
    </cfRule>
    <cfRule type="cellIs" dxfId="69" priority="9" operator="equal">
      <formula>"Avanzado"</formula>
    </cfRule>
    <cfRule type="cellIs" dxfId="68" priority="10" operator="equal">
      <formula>"En Progreso"</formula>
    </cfRule>
  </conditionalFormatting>
  <conditionalFormatting sqref="J4">
    <cfRule type="containsText" dxfId="67" priority="1" operator="containsText" text="100%">
      <formula>NOT(ISERROR(SEARCH("100%",J4)))</formula>
    </cfRule>
    <cfRule type="cellIs" dxfId="66" priority="2" operator="between">
      <formula>1</formula>
      <formula>49</formula>
    </cfRule>
    <cfRule type="cellIs" dxfId="65" priority="3" operator="between">
      <formula>50</formula>
      <formula>99</formula>
    </cfRule>
    <cfRule type="cellIs" dxfId="64" priority="4" operator="equal">
      <formula>100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8168C-43F7-40B4-BBC2-3DC7EBB265D0}">
  <dimension ref="A1:F20"/>
  <sheetViews>
    <sheetView zoomScale="70" zoomScaleNormal="70" workbookViewId="0">
      <selection activeCell="E14" sqref="E14"/>
    </sheetView>
  </sheetViews>
  <sheetFormatPr baseColWidth="10" defaultRowHeight="14.4" x14ac:dyDescent="0.3"/>
  <cols>
    <col min="1" max="1" width="15.33203125" style="1" customWidth="1"/>
    <col min="2" max="2" width="50.77734375" style="1" customWidth="1"/>
    <col min="3" max="3" width="23.21875" style="1" customWidth="1"/>
    <col min="4" max="4" width="17.77734375" style="1" customWidth="1"/>
    <col min="5" max="5" width="23.21875" style="1" customWidth="1"/>
    <col min="6" max="6" width="19.77734375" style="1" customWidth="1"/>
    <col min="7" max="16384" width="11.5546875" style="1"/>
  </cols>
  <sheetData>
    <row r="1" spans="1:6" ht="49.05" customHeight="1" x14ac:dyDescent="0.3">
      <c r="A1" s="66" t="s">
        <v>33</v>
      </c>
      <c r="B1" s="66"/>
      <c r="C1" s="66"/>
      <c r="D1" s="66"/>
      <c r="E1" s="66"/>
      <c r="F1" s="66"/>
    </row>
    <row r="2" spans="1:6" ht="19.2" customHeight="1" x14ac:dyDescent="0.3">
      <c r="A2" s="14" t="s">
        <v>34</v>
      </c>
      <c r="B2" s="15" t="s">
        <v>12</v>
      </c>
      <c r="C2" s="16" t="s">
        <v>69</v>
      </c>
      <c r="D2" s="17">
        <v>46101</v>
      </c>
      <c r="E2" s="2" t="s">
        <v>70</v>
      </c>
      <c r="F2" s="18" t="s">
        <v>13</v>
      </c>
    </row>
    <row r="3" spans="1:6" ht="19.2" customHeight="1" x14ac:dyDescent="0.3">
      <c r="A3" s="67" t="s">
        <v>58</v>
      </c>
      <c r="B3" s="67"/>
      <c r="C3" s="67"/>
      <c r="D3" s="67"/>
      <c r="E3" s="67"/>
      <c r="F3" s="67"/>
    </row>
    <row r="4" spans="1:6" ht="19.05" customHeight="1" x14ac:dyDescent="0.3">
      <c r="A4" s="68" t="s">
        <v>36</v>
      </c>
      <c r="B4" s="68"/>
      <c r="C4" s="68"/>
      <c r="D4" s="68"/>
      <c r="E4" s="68"/>
      <c r="F4" s="68"/>
    </row>
    <row r="5" spans="1:6" ht="4.95" customHeight="1" x14ac:dyDescent="0.3"/>
    <row r="6" spans="1:6" ht="30" customHeight="1" x14ac:dyDescent="0.3">
      <c r="A6" s="19" t="s">
        <v>3</v>
      </c>
      <c r="B6" s="19" t="s">
        <v>37</v>
      </c>
      <c r="C6" s="19" t="s">
        <v>38</v>
      </c>
      <c r="D6" s="19" t="s">
        <v>39</v>
      </c>
      <c r="E6" s="19" t="s">
        <v>41</v>
      </c>
      <c r="F6" s="19" t="s">
        <v>9</v>
      </c>
    </row>
    <row r="7" spans="1:6" ht="34.200000000000003" customHeight="1" x14ac:dyDescent="0.3">
      <c r="A7" s="20">
        <v>1</v>
      </c>
      <c r="B7" s="3" t="s">
        <v>42</v>
      </c>
      <c r="C7" s="5" t="s">
        <v>43</v>
      </c>
      <c r="D7" s="5">
        <v>46101</v>
      </c>
      <c r="E7" s="21">
        <v>0.8</v>
      </c>
      <c r="F7" s="6" t="str">
        <f>IF(E7=0,"Pendiente",IF(E7&lt;0.5,"En Progreso",IF(E7&lt;1,"Avanzado","Completado")))</f>
        <v>Avanzado</v>
      </c>
    </row>
    <row r="8" spans="1:6" ht="34.200000000000003" customHeight="1" x14ac:dyDescent="0.3">
      <c r="A8" s="22">
        <v>2</v>
      </c>
      <c r="B8" s="23" t="s">
        <v>44</v>
      </c>
      <c r="C8" s="24" t="s">
        <v>45</v>
      </c>
      <c r="D8" s="24">
        <v>46101</v>
      </c>
      <c r="E8" s="25">
        <v>0.5</v>
      </c>
      <c r="F8" s="6" t="str">
        <f t="shared" ref="F8:F13" si="0">IF(E8=0,"Pendiente",IF(E8&lt;0.5,"En Progreso",IF(E8&lt;1,"Avanzado","Completado")))</f>
        <v>Avanzado</v>
      </c>
    </row>
    <row r="9" spans="1:6" ht="34.200000000000003" customHeight="1" x14ac:dyDescent="0.3">
      <c r="A9" s="20">
        <v>3</v>
      </c>
      <c r="B9" s="3" t="s">
        <v>46</v>
      </c>
      <c r="C9" s="5" t="s">
        <v>47</v>
      </c>
      <c r="D9" s="5">
        <v>46101</v>
      </c>
      <c r="E9" s="21">
        <v>0.5</v>
      </c>
      <c r="F9" s="6" t="str">
        <f t="shared" si="0"/>
        <v>Avanzado</v>
      </c>
    </row>
    <row r="10" spans="1:6" ht="34.200000000000003" customHeight="1" x14ac:dyDescent="0.3">
      <c r="A10" s="22">
        <v>4</v>
      </c>
      <c r="B10" s="23" t="s">
        <v>48</v>
      </c>
      <c r="C10" s="24" t="s">
        <v>49</v>
      </c>
      <c r="D10" s="24"/>
      <c r="E10" s="25">
        <v>0</v>
      </c>
      <c r="F10" s="6" t="str">
        <f t="shared" si="0"/>
        <v>Pendiente</v>
      </c>
    </row>
    <row r="11" spans="1:6" ht="34.200000000000003" customHeight="1" x14ac:dyDescent="0.3">
      <c r="A11" s="20">
        <v>5</v>
      </c>
      <c r="B11" s="3" t="s">
        <v>50</v>
      </c>
      <c r="C11" s="5" t="s">
        <v>51</v>
      </c>
      <c r="D11" s="5"/>
      <c r="E11" s="21">
        <v>0</v>
      </c>
      <c r="F11" s="6" t="str">
        <f t="shared" si="0"/>
        <v>Pendiente</v>
      </c>
    </row>
    <row r="12" spans="1:6" ht="34.200000000000003" customHeight="1" x14ac:dyDescent="0.3">
      <c r="A12" s="22">
        <v>6</v>
      </c>
      <c r="B12" s="23" t="s">
        <v>52</v>
      </c>
      <c r="C12" s="24" t="s">
        <v>53</v>
      </c>
      <c r="D12" s="24"/>
      <c r="E12" s="25">
        <v>0</v>
      </c>
      <c r="F12" s="6" t="str">
        <f t="shared" si="0"/>
        <v>Pendiente</v>
      </c>
    </row>
    <row r="13" spans="1:6" ht="34.200000000000003" customHeight="1" x14ac:dyDescent="0.3">
      <c r="A13" s="20">
        <v>7</v>
      </c>
      <c r="B13" s="3" t="s">
        <v>54</v>
      </c>
      <c r="C13" s="5" t="s">
        <v>55</v>
      </c>
      <c r="D13" s="5"/>
      <c r="E13" s="21">
        <v>0</v>
      </c>
      <c r="F13" s="6" t="str">
        <f t="shared" si="0"/>
        <v>Pendiente</v>
      </c>
    </row>
    <row r="14" spans="1:6" ht="24" customHeight="1" x14ac:dyDescent="0.3">
      <c r="A14" s="65" t="s">
        <v>56</v>
      </c>
      <c r="B14" s="65"/>
      <c r="C14" s="65"/>
      <c r="D14" s="65"/>
      <c r="E14" s="7">
        <f>AVERAGE(E7:E13)</f>
        <v>0.25714285714285717</v>
      </c>
      <c r="F14" s="32" t="str">
        <f>IF(E14=0,"Pendiente",IF(E14&lt;0.5,"En Progreso",IF(E14&lt;1,"Avanzado","Completado")))</f>
        <v>En Progreso</v>
      </c>
    </row>
    <row r="15" spans="1:6" ht="9" customHeight="1" x14ac:dyDescent="0.3"/>
    <row r="16" spans="1:6" ht="14.4" customHeight="1" x14ac:dyDescent="0.3">
      <c r="A16" s="69" t="s">
        <v>57</v>
      </c>
      <c r="B16" s="70"/>
      <c r="C16" s="70"/>
      <c r="D16" s="70"/>
      <c r="E16" s="70"/>
      <c r="F16" s="70"/>
    </row>
    <row r="17" spans="1:6" x14ac:dyDescent="0.3">
      <c r="A17" s="1" t="s">
        <v>59</v>
      </c>
      <c r="B17" s="64" t="s">
        <v>156</v>
      </c>
      <c r="C17" s="64"/>
      <c r="D17" s="64"/>
      <c r="E17" s="64"/>
      <c r="F17" s="64"/>
    </row>
    <row r="18" spans="1:6" x14ac:dyDescent="0.3">
      <c r="B18" s="27"/>
      <c r="C18" s="27"/>
      <c r="D18" s="27"/>
      <c r="E18" s="27"/>
      <c r="F18" s="27"/>
    </row>
    <row r="19" spans="1:6" x14ac:dyDescent="0.3">
      <c r="A19" s="27"/>
      <c r="B19" s="27"/>
      <c r="C19" s="27"/>
      <c r="D19" s="27"/>
      <c r="E19" s="27"/>
      <c r="F19" s="27"/>
    </row>
    <row r="20" spans="1:6" x14ac:dyDescent="0.3">
      <c r="A20" s="26"/>
      <c r="B20" s="28"/>
      <c r="C20" s="28"/>
      <c r="D20" s="28"/>
      <c r="E20" s="28"/>
      <c r="F20" s="28"/>
    </row>
  </sheetData>
  <mergeCells count="6">
    <mergeCell ref="B17:F17"/>
    <mergeCell ref="A14:D14"/>
    <mergeCell ref="A1:F1"/>
    <mergeCell ref="A3:F3"/>
    <mergeCell ref="A4:F4"/>
    <mergeCell ref="A16:F16"/>
  </mergeCells>
  <conditionalFormatting sqref="A1">
    <cfRule type="expression" dxfId="63" priority="10">
      <formula>$B$2= "Nuestra Dotación"</formula>
    </cfRule>
  </conditionalFormatting>
  <conditionalFormatting sqref="B2">
    <cfRule type="cellIs" dxfId="62" priority="9" operator="equal">
      <formula>"Nuestra Dotación"</formula>
    </cfRule>
  </conditionalFormatting>
  <conditionalFormatting sqref="E7:E13">
    <cfRule type="colorScale" priority="11">
      <colorScale>
        <cfvo type="num" val="0"/>
        <cfvo type="num" val="0.5"/>
        <cfvo type="num" val="1"/>
        <color rgb="FFFF0000"/>
        <color rgb="FFFFFF00"/>
        <color rgb="FF70AD47"/>
      </colorScale>
    </cfRule>
  </conditionalFormatting>
  <conditionalFormatting sqref="F7:F13">
    <cfRule type="cellIs" dxfId="61" priority="7" operator="equal">
      <formula>"Pendiente"</formula>
    </cfRule>
  </conditionalFormatting>
  <conditionalFormatting sqref="F7:F14">
    <cfRule type="cellIs" dxfId="60" priority="1" operator="equal">
      <formula>"En Progreso"</formula>
    </cfRule>
    <cfRule type="cellIs" dxfId="59" priority="2" operator="equal">
      <formula>"Completado"</formula>
    </cfRule>
    <cfRule type="cellIs" dxfId="58" priority="3" operator="equal">
      <formula>"Avanzado"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D7CFD-74A1-4BC7-99BE-10432E37E2E1}">
  <dimension ref="A1:F20"/>
  <sheetViews>
    <sheetView zoomScale="70" zoomScaleNormal="70" workbookViewId="0">
      <selection activeCell="B17" sqref="B17"/>
    </sheetView>
  </sheetViews>
  <sheetFormatPr baseColWidth="10" defaultRowHeight="14.4" x14ac:dyDescent="0.3"/>
  <cols>
    <col min="1" max="1" width="15.33203125" style="1" customWidth="1"/>
    <col min="2" max="2" width="50.77734375" style="1" customWidth="1"/>
    <col min="3" max="3" width="23.21875" style="1" customWidth="1"/>
    <col min="4" max="4" width="17.77734375" style="1" customWidth="1"/>
    <col min="5" max="5" width="23.21875" style="1" customWidth="1"/>
    <col min="6" max="6" width="19.77734375" style="1" customWidth="1"/>
    <col min="7" max="16384" width="11.5546875" style="1"/>
  </cols>
  <sheetData>
    <row r="1" spans="1:6" ht="48" customHeight="1" x14ac:dyDescent="0.3">
      <c r="A1" s="71" t="s">
        <v>60</v>
      </c>
      <c r="B1" s="71"/>
      <c r="C1" s="71"/>
      <c r="D1" s="71"/>
      <c r="E1" s="71"/>
      <c r="F1" s="71"/>
    </row>
    <row r="2" spans="1:6" ht="19.2" customHeight="1" x14ac:dyDescent="0.3">
      <c r="A2" s="14" t="s">
        <v>34</v>
      </c>
      <c r="B2" s="29" t="s">
        <v>15</v>
      </c>
      <c r="C2" s="16" t="s">
        <v>69</v>
      </c>
      <c r="D2" s="17">
        <v>46101</v>
      </c>
      <c r="E2" s="2" t="s">
        <v>71</v>
      </c>
      <c r="F2" s="18" t="s">
        <v>16</v>
      </c>
    </row>
    <row r="3" spans="1:6" ht="19.2" customHeight="1" x14ac:dyDescent="0.3">
      <c r="A3" s="67" t="s">
        <v>58</v>
      </c>
      <c r="B3" s="67"/>
      <c r="C3" s="67"/>
      <c r="D3" s="67"/>
      <c r="E3" s="67"/>
      <c r="F3" s="67"/>
    </row>
    <row r="4" spans="1:6" ht="19.05" customHeight="1" x14ac:dyDescent="0.3">
      <c r="A4" s="68" t="s">
        <v>61</v>
      </c>
      <c r="B4" s="68"/>
      <c r="C4" s="68"/>
      <c r="D4" s="68"/>
      <c r="E4" s="68"/>
      <c r="F4" s="68"/>
    </row>
    <row r="5" spans="1:6" ht="4.95" customHeight="1" x14ac:dyDescent="0.3"/>
    <row r="6" spans="1:6" ht="30" customHeight="1" x14ac:dyDescent="0.3">
      <c r="A6" s="19" t="s">
        <v>3</v>
      </c>
      <c r="B6" s="19" t="s">
        <v>37</v>
      </c>
      <c r="C6" s="19" t="s">
        <v>38</v>
      </c>
      <c r="D6" s="19" t="s">
        <v>39</v>
      </c>
      <c r="E6" s="19" t="s">
        <v>41</v>
      </c>
      <c r="F6" s="19" t="s">
        <v>9</v>
      </c>
    </row>
    <row r="7" spans="1:6" ht="34.200000000000003" customHeight="1" x14ac:dyDescent="0.3">
      <c r="A7" s="20">
        <v>1</v>
      </c>
      <c r="B7" s="3" t="s">
        <v>62</v>
      </c>
      <c r="C7" s="5" t="s">
        <v>63</v>
      </c>
      <c r="D7" s="5">
        <v>46101</v>
      </c>
      <c r="E7" s="21">
        <v>1</v>
      </c>
      <c r="F7" s="6" t="str">
        <f>IF(E7=0,"Pendiente",IF(E7&lt;0.5,"En Progreso",IF(E7&lt;1,"Avanzado","Completado")))</f>
        <v>Completado</v>
      </c>
    </row>
    <row r="8" spans="1:6" ht="34.200000000000003" customHeight="1" x14ac:dyDescent="0.3">
      <c r="A8" s="22">
        <v>2</v>
      </c>
      <c r="B8" s="23" t="s">
        <v>72</v>
      </c>
      <c r="C8" s="24" t="s">
        <v>64</v>
      </c>
      <c r="D8" s="24">
        <v>46101</v>
      </c>
      <c r="E8" s="25">
        <v>0.67</v>
      </c>
      <c r="F8" s="6" t="str">
        <f t="shared" ref="F8:F13" si="0">IF(E8=0,"Pendiente",IF(E8&lt;0.5,"En Progreso",IF(E8&lt;1,"Avanzado","Completado")))</f>
        <v>Avanzado</v>
      </c>
    </row>
    <row r="9" spans="1:6" ht="34.200000000000003" customHeight="1" x14ac:dyDescent="0.3">
      <c r="A9" s="20">
        <v>3</v>
      </c>
      <c r="B9" s="3" t="s">
        <v>73</v>
      </c>
      <c r="C9" s="5" t="s">
        <v>64</v>
      </c>
      <c r="D9" s="5"/>
      <c r="E9" s="21">
        <v>0</v>
      </c>
      <c r="F9" s="6" t="str">
        <f t="shared" si="0"/>
        <v>Pendiente</v>
      </c>
    </row>
    <row r="10" spans="1:6" ht="34.200000000000003" customHeight="1" x14ac:dyDescent="0.3">
      <c r="A10" s="22">
        <v>4</v>
      </c>
      <c r="B10" s="23" t="s">
        <v>74</v>
      </c>
      <c r="C10" s="24" t="s">
        <v>64</v>
      </c>
      <c r="D10" s="24"/>
      <c r="E10" s="25">
        <v>0</v>
      </c>
      <c r="F10" s="6" t="str">
        <f t="shared" si="0"/>
        <v>Pendiente</v>
      </c>
    </row>
    <row r="11" spans="1:6" ht="34.200000000000003" customHeight="1" x14ac:dyDescent="0.3">
      <c r="A11" s="20">
        <v>5</v>
      </c>
      <c r="B11" s="3" t="s">
        <v>65</v>
      </c>
      <c r="C11" s="5" t="s">
        <v>66</v>
      </c>
      <c r="D11" s="5"/>
      <c r="E11" s="21">
        <v>0</v>
      </c>
      <c r="F11" s="6" t="str">
        <f t="shared" si="0"/>
        <v>Pendiente</v>
      </c>
    </row>
    <row r="12" spans="1:6" ht="34.200000000000003" customHeight="1" x14ac:dyDescent="0.3">
      <c r="A12" s="22">
        <v>6</v>
      </c>
      <c r="B12" s="23" t="s">
        <v>75</v>
      </c>
      <c r="C12" s="24" t="s">
        <v>66</v>
      </c>
      <c r="D12" s="24"/>
      <c r="E12" s="25">
        <v>0</v>
      </c>
      <c r="F12" s="6" t="str">
        <f t="shared" si="0"/>
        <v>Pendiente</v>
      </c>
    </row>
    <row r="13" spans="1:6" ht="34.200000000000003" customHeight="1" x14ac:dyDescent="0.3">
      <c r="A13" s="20">
        <v>7</v>
      </c>
      <c r="B13" s="3" t="s">
        <v>67</v>
      </c>
      <c r="C13" s="5" t="s">
        <v>68</v>
      </c>
      <c r="D13" s="5"/>
      <c r="E13" s="21">
        <v>0</v>
      </c>
      <c r="F13" s="6" t="str">
        <f t="shared" si="0"/>
        <v>Pendiente</v>
      </c>
    </row>
    <row r="14" spans="1:6" ht="24" customHeight="1" x14ac:dyDescent="0.3">
      <c r="A14" s="65" t="s">
        <v>56</v>
      </c>
      <c r="B14" s="65"/>
      <c r="C14" s="65"/>
      <c r="D14" s="65"/>
      <c r="E14" s="7">
        <f>AVERAGE(E7:E13)</f>
        <v>0.23857142857142857</v>
      </c>
      <c r="F14" s="32" t="str">
        <f>IF(E14=0,"⏳ Pendiente",IF(E14&lt;0.5,"En Progreso",IF(E14&lt;1,"Avanzado","✅ Completado")))</f>
        <v>En Progreso</v>
      </c>
    </row>
    <row r="15" spans="1:6" ht="4.95" customHeight="1" x14ac:dyDescent="0.3"/>
    <row r="16" spans="1:6" ht="14.4" customHeight="1" x14ac:dyDescent="0.3">
      <c r="A16" s="72" t="s">
        <v>57</v>
      </c>
      <c r="B16" s="73"/>
      <c r="C16" s="73"/>
      <c r="D16" s="73"/>
      <c r="E16" s="73"/>
      <c r="F16" s="73"/>
    </row>
    <row r="17" spans="1:6" x14ac:dyDescent="0.3">
      <c r="A17" s="1" t="s">
        <v>59</v>
      </c>
      <c r="B17" s="30" t="s">
        <v>156</v>
      </c>
      <c r="C17" s="30"/>
      <c r="D17" s="30"/>
      <c r="E17" s="30"/>
      <c r="F17" s="30"/>
    </row>
    <row r="18" spans="1:6" x14ac:dyDescent="0.3">
      <c r="B18" s="27"/>
      <c r="C18" s="27"/>
      <c r="D18" s="31"/>
      <c r="E18" s="27"/>
      <c r="F18" s="27"/>
    </row>
    <row r="19" spans="1:6" x14ac:dyDescent="0.3">
      <c r="A19" s="27"/>
      <c r="B19" s="27"/>
      <c r="C19" s="27"/>
      <c r="D19" s="27"/>
      <c r="E19" s="27"/>
      <c r="F19" s="27"/>
    </row>
    <row r="20" spans="1:6" x14ac:dyDescent="0.3">
      <c r="A20" s="26"/>
      <c r="B20" s="28"/>
      <c r="C20" s="28"/>
      <c r="D20" s="28"/>
      <c r="E20" s="28"/>
      <c r="F20" s="28"/>
    </row>
  </sheetData>
  <mergeCells count="5">
    <mergeCell ref="A1:F1"/>
    <mergeCell ref="A3:F3"/>
    <mergeCell ref="A4:F4"/>
    <mergeCell ref="A14:D14"/>
    <mergeCell ref="A16:F16"/>
  </mergeCells>
  <conditionalFormatting sqref="A1">
    <cfRule type="expression" dxfId="57" priority="15">
      <formula>$B$2= "Nuestra Gente"</formula>
    </cfRule>
  </conditionalFormatting>
  <conditionalFormatting sqref="B2">
    <cfRule type="cellIs" dxfId="56" priority="12" operator="equal">
      <formula>"Nuestro Desempeño"</formula>
    </cfRule>
    <cfRule type="cellIs" dxfId="55" priority="13" operator="equal">
      <formula>"Nuestra Gente"</formula>
    </cfRule>
    <cfRule type="cellIs" dxfId="54" priority="14" operator="equal">
      <formula>"Nuestra Dotación"</formula>
    </cfRule>
  </conditionalFormatting>
  <conditionalFormatting sqref="E7:E13">
    <cfRule type="colorScale" priority="16">
      <colorScale>
        <cfvo type="num" val="0"/>
        <cfvo type="num" val="0.5"/>
        <cfvo type="num" val="1"/>
        <color rgb="FFFF0000"/>
        <color rgb="FFFFFF00"/>
        <color rgb="FF70AD47"/>
      </colorScale>
    </cfRule>
  </conditionalFormatting>
  <conditionalFormatting sqref="F7:F13">
    <cfRule type="cellIs" dxfId="53" priority="7" operator="equal">
      <formula>"Pendiente"</formula>
    </cfRule>
  </conditionalFormatting>
  <conditionalFormatting sqref="F7:F14">
    <cfRule type="cellIs" dxfId="52" priority="1" operator="equal">
      <formula>"En Progreso"</formula>
    </cfRule>
    <cfRule type="cellIs" dxfId="51" priority="2" operator="equal">
      <formula>"Completado"</formula>
    </cfRule>
    <cfRule type="cellIs" dxfId="50" priority="3" operator="equal">
      <formula>"Avanzado"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1EC1E-7473-4240-9853-A7DDBA380737}">
  <dimension ref="A1:F23"/>
  <sheetViews>
    <sheetView tabSelected="1" zoomScale="80" zoomScaleNormal="80" workbookViewId="0">
      <selection activeCell="K9" sqref="K9"/>
    </sheetView>
  </sheetViews>
  <sheetFormatPr baseColWidth="10" defaultRowHeight="14.4" x14ac:dyDescent="0.3"/>
  <cols>
    <col min="1" max="1" width="15.33203125" style="1" customWidth="1"/>
    <col min="2" max="2" width="50.77734375" style="1" customWidth="1"/>
    <col min="3" max="3" width="23.21875" style="1" customWidth="1"/>
    <col min="4" max="4" width="17.77734375" style="1" customWidth="1"/>
    <col min="5" max="5" width="23.21875" style="1" customWidth="1"/>
    <col min="6" max="6" width="19.77734375" style="1" customWidth="1"/>
    <col min="7" max="16384" width="11.5546875" style="1"/>
  </cols>
  <sheetData>
    <row r="1" spans="1:6" ht="48" customHeight="1" x14ac:dyDescent="0.3">
      <c r="A1" s="71" t="s">
        <v>76</v>
      </c>
      <c r="B1" s="71"/>
      <c r="C1" s="71"/>
      <c r="D1" s="71"/>
      <c r="E1" s="71"/>
      <c r="F1" s="71"/>
    </row>
    <row r="2" spans="1:6" ht="19.2" customHeight="1" x14ac:dyDescent="0.3">
      <c r="A2" s="14" t="s">
        <v>34</v>
      </c>
      <c r="B2" s="33" t="s">
        <v>18</v>
      </c>
      <c r="C2" s="16" t="s">
        <v>69</v>
      </c>
      <c r="D2" s="17">
        <v>46101</v>
      </c>
      <c r="E2" s="2" t="s">
        <v>70</v>
      </c>
      <c r="F2" s="18" t="s">
        <v>13</v>
      </c>
    </row>
    <row r="3" spans="1:6" ht="19.2" customHeight="1" x14ac:dyDescent="0.3">
      <c r="A3" s="67" t="s">
        <v>35</v>
      </c>
      <c r="B3" s="67"/>
      <c r="C3" s="67"/>
      <c r="D3" s="67"/>
      <c r="E3" s="67"/>
      <c r="F3" s="67"/>
    </row>
    <row r="4" spans="1:6" ht="18.600000000000001" customHeight="1" x14ac:dyDescent="0.3">
      <c r="A4" s="68" t="s">
        <v>77</v>
      </c>
      <c r="B4" s="68"/>
      <c r="C4" s="68"/>
      <c r="D4" s="68"/>
      <c r="E4" s="68"/>
      <c r="F4" s="68"/>
    </row>
    <row r="5" spans="1:6" ht="4.95" customHeight="1" x14ac:dyDescent="0.3"/>
    <row r="6" spans="1:6" ht="30" customHeight="1" x14ac:dyDescent="0.3">
      <c r="A6" s="19" t="s">
        <v>3</v>
      </c>
      <c r="B6" s="19" t="s">
        <v>37</v>
      </c>
      <c r="C6" s="19" t="s">
        <v>38</v>
      </c>
      <c r="D6" s="19" t="s">
        <v>39</v>
      </c>
      <c r="E6" s="19" t="s">
        <v>41</v>
      </c>
      <c r="F6" s="19" t="s">
        <v>9</v>
      </c>
    </row>
    <row r="7" spans="1:6" ht="34.200000000000003" customHeight="1" x14ac:dyDescent="0.3">
      <c r="A7" s="20">
        <v>1</v>
      </c>
      <c r="B7" s="3" t="s">
        <v>158</v>
      </c>
      <c r="C7" s="5" t="s">
        <v>78</v>
      </c>
      <c r="D7" s="5">
        <v>46101</v>
      </c>
      <c r="E7" s="21">
        <v>1</v>
      </c>
      <c r="F7" s="6" t="str">
        <f>IF(E7=0,"Pendiente",IF(E7&lt;0.5,"En Progreso",IF(E7&lt;1,"Avanzado","Completado")))</f>
        <v>Completado</v>
      </c>
    </row>
    <row r="8" spans="1:6" ht="34.200000000000003" customHeight="1" x14ac:dyDescent="0.3">
      <c r="A8" s="22">
        <v>2</v>
      </c>
      <c r="B8" s="23" t="s">
        <v>79</v>
      </c>
      <c r="C8" s="24" t="s">
        <v>80</v>
      </c>
      <c r="D8" s="24">
        <v>46114</v>
      </c>
      <c r="E8" s="25">
        <v>0.8</v>
      </c>
      <c r="F8" s="6" t="str">
        <f t="shared" ref="F8:F13" si="0">IF(E8=0,"Pendiente",IF(E8&lt;0.5,"En Progreso",IF(E8&lt;1,"Avanzado","Completado")))</f>
        <v>Avanzado</v>
      </c>
    </row>
    <row r="9" spans="1:6" ht="34.200000000000003" customHeight="1" x14ac:dyDescent="0.3">
      <c r="A9" s="20">
        <v>3</v>
      </c>
      <c r="B9" s="3" t="s">
        <v>81</v>
      </c>
      <c r="C9" s="5" t="s">
        <v>82</v>
      </c>
      <c r="D9" s="5"/>
      <c r="E9" s="21">
        <v>0</v>
      </c>
      <c r="F9" s="6" t="str">
        <f t="shared" si="0"/>
        <v>Pendiente</v>
      </c>
    </row>
    <row r="10" spans="1:6" ht="34.200000000000003" customHeight="1" x14ac:dyDescent="0.3">
      <c r="A10" s="22">
        <v>4</v>
      </c>
      <c r="B10" s="23" t="s">
        <v>157</v>
      </c>
      <c r="C10" s="24" t="s">
        <v>83</v>
      </c>
      <c r="D10" s="24">
        <v>46114</v>
      </c>
      <c r="E10" s="25">
        <v>0.8</v>
      </c>
      <c r="F10" s="6" t="str">
        <f t="shared" si="0"/>
        <v>Avanzado</v>
      </c>
    </row>
    <row r="11" spans="1:6" ht="34.200000000000003" customHeight="1" x14ac:dyDescent="0.3">
      <c r="A11" s="20">
        <v>5</v>
      </c>
      <c r="B11" s="3" t="s">
        <v>84</v>
      </c>
      <c r="C11" s="5" t="s">
        <v>89</v>
      </c>
      <c r="D11" s="5"/>
      <c r="E11" s="21">
        <v>0</v>
      </c>
      <c r="F11" s="6" t="str">
        <f t="shared" si="0"/>
        <v>Pendiente</v>
      </c>
    </row>
    <row r="12" spans="1:6" ht="34.200000000000003" customHeight="1" x14ac:dyDescent="0.3">
      <c r="A12" s="22">
        <v>6</v>
      </c>
      <c r="B12" s="23" t="s">
        <v>85</v>
      </c>
      <c r="C12" s="24" t="s">
        <v>86</v>
      </c>
      <c r="D12" s="24"/>
      <c r="E12" s="25">
        <v>0</v>
      </c>
      <c r="F12" s="6" t="str">
        <f t="shared" si="0"/>
        <v>Pendiente</v>
      </c>
    </row>
    <row r="13" spans="1:6" ht="34.200000000000003" customHeight="1" x14ac:dyDescent="0.3">
      <c r="A13" s="20">
        <v>7</v>
      </c>
      <c r="B13" s="3" t="s">
        <v>87</v>
      </c>
      <c r="C13" s="5" t="s">
        <v>88</v>
      </c>
      <c r="D13" s="5"/>
      <c r="E13" s="21">
        <v>0</v>
      </c>
      <c r="F13" s="6" t="str">
        <f t="shared" si="0"/>
        <v>Pendiente</v>
      </c>
    </row>
    <row r="14" spans="1:6" ht="24" customHeight="1" x14ac:dyDescent="0.3">
      <c r="A14" s="65" t="s">
        <v>56</v>
      </c>
      <c r="B14" s="65"/>
      <c r="C14" s="65"/>
      <c r="D14" s="65"/>
      <c r="E14" s="7">
        <f>AVERAGE(E7:E13)</f>
        <v>0.37142857142857144</v>
      </c>
      <c r="F14" s="32" t="str">
        <f>IF(E14=0,"⏳ Pendiente",IF(E14&lt;0.5,"En Progreso",IF(E14&lt;1,"Avanzado","Completado")))</f>
        <v>En Progreso</v>
      </c>
    </row>
    <row r="15" spans="1:6" ht="4.95" customHeight="1" x14ac:dyDescent="0.3"/>
    <row r="16" spans="1:6" ht="14.4" customHeight="1" x14ac:dyDescent="0.3">
      <c r="A16" s="69" t="s">
        <v>57</v>
      </c>
      <c r="B16" s="70"/>
      <c r="C16" s="70"/>
      <c r="D16" s="70"/>
      <c r="E16" s="70"/>
      <c r="F16" s="70"/>
    </row>
    <row r="17" spans="1:6" x14ac:dyDescent="0.3">
      <c r="A17" s="1" t="s">
        <v>59</v>
      </c>
      <c r="B17" s="64"/>
      <c r="C17" s="64"/>
      <c r="D17" s="64"/>
      <c r="E17" s="64"/>
      <c r="F17" s="64"/>
    </row>
    <row r="18" spans="1:6" x14ac:dyDescent="0.3">
      <c r="B18" s="27"/>
      <c r="C18" s="27"/>
      <c r="D18" s="27"/>
      <c r="E18" s="27"/>
      <c r="F18" s="27"/>
    </row>
    <row r="19" spans="1:6" x14ac:dyDescent="0.3">
      <c r="A19" s="27"/>
      <c r="B19" s="27"/>
      <c r="C19" s="27"/>
      <c r="D19" s="27"/>
      <c r="E19" s="27"/>
      <c r="F19" s="27"/>
    </row>
    <row r="20" spans="1:6" x14ac:dyDescent="0.3">
      <c r="A20" s="26"/>
      <c r="B20" s="28"/>
      <c r="C20" s="28"/>
      <c r="D20" s="28"/>
      <c r="E20" s="28"/>
      <c r="F20" s="28"/>
    </row>
    <row r="23" spans="1:6" x14ac:dyDescent="0.3">
      <c r="A23" s="1" t="s">
        <v>159</v>
      </c>
      <c r="B23" s="1" t="s">
        <v>160</v>
      </c>
    </row>
  </sheetData>
  <mergeCells count="6">
    <mergeCell ref="A1:F1"/>
    <mergeCell ref="B17:F17"/>
    <mergeCell ref="A14:D14"/>
    <mergeCell ref="A16:F16"/>
    <mergeCell ref="A4:F4"/>
    <mergeCell ref="A3:F3"/>
  </mergeCells>
  <conditionalFormatting sqref="A1">
    <cfRule type="expression" dxfId="49" priority="9">
      <formula>$B$2= "Nuestra Gente"</formula>
    </cfRule>
    <cfRule type="expression" dxfId="48" priority="10">
      <formula>$B$2= "Nuestro Desempeño"</formula>
    </cfRule>
    <cfRule type="expression" dxfId="47" priority="17">
      <formula>$B$2= "Nuestra Dotación"</formula>
    </cfRule>
  </conditionalFormatting>
  <conditionalFormatting sqref="B2">
    <cfRule type="cellIs" dxfId="46" priority="14" operator="equal">
      <formula>"Nuestro Desempeño"</formula>
    </cfRule>
    <cfRule type="cellIs" dxfId="45" priority="15" operator="equal">
      <formula>"Nuestra Gente"</formula>
    </cfRule>
    <cfRule type="cellIs" dxfId="44" priority="16" operator="equal">
      <formula>"Nuestra Dotación"</formula>
    </cfRule>
  </conditionalFormatting>
  <conditionalFormatting sqref="E7:E13">
    <cfRule type="colorScale" priority="18">
      <colorScale>
        <cfvo type="num" val="0"/>
        <cfvo type="num" val="0.5"/>
        <cfvo type="num" val="1"/>
        <color rgb="FFFF0000"/>
        <color rgb="FFFFFF00"/>
        <color rgb="FF70AD47"/>
      </colorScale>
    </cfRule>
  </conditionalFormatting>
  <conditionalFormatting sqref="F7:F13">
    <cfRule type="cellIs" dxfId="43" priority="7" operator="equal">
      <formula>"Pendiente"</formula>
    </cfRule>
  </conditionalFormatting>
  <conditionalFormatting sqref="F7:F14">
    <cfRule type="cellIs" dxfId="42" priority="1" operator="equal">
      <formula>"En Progreso"</formula>
    </cfRule>
    <cfRule type="cellIs" dxfId="41" priority="2" operator="equal">
      <formula>"Completado"</formula>
    </cfRule>
    <cfRule type="cellIs" dxfId="40" priority="3" operator="equal">
      <formula>"Avanzado"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2C2B-0FAE-4C71-8AAF-8326173441A5}">
  <dimension ref="A1:F20"/>
  <sheetViews>
    <sheetView zoomScale="70" zoomScaleNormal="70" workbookViewId="0">
      <selection activeCell="A17" sqref="A17:F20"/>
    </sheetView>
  </sheetViews>
  <sheetFormatPr baseColWidth="10" defaultRowHeight="14.4" x14ac:dyDescent="0.3"/>
  <cols>
    <col min="1" max="1" width="15.33203125" style="1" customWidth="1"/>
    <col min="2" max="2" width="50.77734375" style="1" customWidth="1"/>
    <col min="3" max="3" width="23.21875" style="1" customWidth="1"/>
    <col min="4" max="4" width="17.77734375" style="1" customWidth="1"/>
    <col min="5" max="5" width="23.21875" style="1" customWidth="1"/>
    <col min="6" max="6" width="19.77734375" style="1" customWidth="1"/>
    <col min="7" max="16384" width="11.5546875" style="1"/>
  </cols>
  <sheetData>
    <row r="1" spans="1:6" ht="48" customHeight="1" x14ac:dyDescent="0.3">
      <c r="A1" s="71" t="s">
        <v>90</v>
      </c>
      <c r="B1" s="71"/>
      <c r="C1" s="71"/>
      <c r="D1" s="71"/>
      <c r="E1" s="71"/>
      <c r="F1" s="71"/>
    </row>
    <row r="2" spans="1:6" ht="19.2" customHeight="1" x14ac:dyDescent="0.3">
      <c r="A2" s="14" t="s">
        <v>34</v>
      </c>
      <c r="B2" s="29" t="s">
        <v>18</v>
      </c>
      <c r="C2" s="16" t="s">
        <v>69</v>
      </c>
      <c r="D2" s="17">
        <v>46101</v>
      </c>
      <c r="E2" s="2" t="s">
        <v>71</v>
      </c>
      <c r="F2" s="18" t="s">
        <v>13</v>
      </c>
    </row>
    <row r="3" spans="1:6" ht="19.2" customHeight="1" x14ac:dyDescent="0.3">
      <c r="A3" s="67" t="s">
        <v>35</v>
      </c>
      <c r="B3" s="67"/>
      <c r="C3" s="67"/>
      <c r="D3" s="67"/>
      <c r="E3" s="67"/>
      <c r="F3" s="67"/>
    </row>
    <row r="4" spans="1:6" ht="18.600000000000001" customHeight="1" x14ac:dyDescent="0.3">
      <c r="A4" s="68" t="s">
        <v>91</v>
      </c>
      <c r="B4" s="68"/>
      <c r="C4" s="68"/>
      <c r="D4" s="68"/>
      <c r="E4" s="68"/>
      <c r="F4" s="68"/>
    </row>
    <row r="5" spans="1:6" ht="4.95" customHeight="1" x14ac:dyDescent="0.3"/>
    <row r="6" spans="1:6" ht="30" customHeight="1" x14ac:dyDescent="0.3">
      <c r="A6" s="19" t="s">
        <v>3</v>
      </c>
      <c r="B6" s="19" t="s">
        <v>37</v>
      </c>
      <c r="C6" s="19" t="s">
        <v>38</v>
      </c>
      <c r="D6" s="19" t="s">
        <v>39</v>
      </c>
      <c r="E6" s="19" t="s">
        <v>40</v>
      </c>
      <c r="F6" s="19" t="s">
        <v>41</v>
      </c>
    </row>
    <row r="7" spans="1:6" ht="34.200000000000003" customHeight="1" x14ac:dyDescent="0.3">
      <c r="A7" s="20">
        <v>1</v>
      </c>
      <c r="B7" s="3" t="s">
        <v>92</v>
      </c>
      <c r="C7" s="5" t="s">
        <v>93</v>
      </c>
      <c r="D7" s="5">
        <v>46102</v>
      </c>
      <c r="E7" s="21">
        <v>1</v>
      </c>
      <c r="F7" s="6" t="str">
        <f>IF(E7=0,"Pendiente",IF(E7&lt;0.5,"En Progreso",IF(E7&lt;1,"Avanzado","Completado")))</f>
        <v>Completado</v>
      </c>
    </row>
    <row r="8" spans="1:6" ht="34.200000000000003" customHeight="1" x14ac:dyDescent="0.3">
      <c r="A8" s="22">
        <v>2</v>
      </c>
      <c r="B8" s="23" t="s">
        <v>94</v>
      </c>
      <c r="C8" s="24" t="s">
        <v>95</v>
      </c>
      <c r="D8" s="24">
        <v>46114</v>
      </c>
      <c r="E8" s="25">
        <v>1</v>
      </c>
      <c r="F8" s="6" t="str">
        <f t="shared" ref="F8:F13" si="0">IF(E8=0,"Pendiente",IF(E8&lt;0.5,"En Progreso",IF(E8&lt;1,"Avanzado","Completado")))</f>
        <v>Completado</v>
      </c>
    </row>
    <row r="9" spans="1:6" ht="34.200000000000003" customHeight="1" x14ac:dyDescent="0.3">
      <c r="A9" s="20">
        <v>3</v>
      </c>
      <c r="B9" s="3" t="s">
        <v>96</v>
      </c>
      <c r="C9" s="5" t="s">
        <v>97</v>
      </c>
      <c r="D9" s="5">
        <v>46102</v>
      </c>
      <c r="E9" s="21">
        <v>0.5</v>
      </c>
      <c r="F9" s="6" t="str">
        <f t="shared" si="0"/>
        <v>Avanzado</v>
      </c>
    </row>
    <row r="10" spans="1:6" ht="34.200000000000003" customHeight="1" x14ac:dyDescent="0.3">
      <c r="A10" s="22">
        <v>4</v>
      </c>
      <c r="B10" s="23" t="s">
        <v>98</v>
      </c>
      <c r="C10" s="24" t="s">
        <v>99</v>
      </c>
      <c r="D10" s="24">
        <v>46127</v>
      </c>
      <c r="E10" s="25">
        <v>1</v>
      </c>
      <c r="F10" s="6" t="str">
        <f t="shared" si="0"/>
        <v>Completado</v>
      </c>
    </row>
    <row r="11" spans="1:6" ht="34.200000000000003" customHeight="1" x14ac:dyDescent="0.3">
      <c r="A11" s="20">
        <v>5</v>
      </c>
      <c r="B11" s="3" t="s">
        <v>100</v>
      </c>
      <c r="C11" s="5" t="s">
        <v>101</v>
      </c>
      <c r="D11" s="5"/>
      <c r="E11" s="21">
        <v>0</v>
      </c>
      <c r="F11" s="6" t="str">
        <f t="shared" si="0"/>
        <v>Pendiente</v>
      </c>
    </row>
    <row r="12" spans="1:6" ht="34.200000000000003" customHeight="1" x14ac:dyDescent="0.3">
      <c r="A12" s="22">
        <v>6</v>
      </c>
      <c r="B12" s="23" t="s">
        <v>102</v>
      </c>
      <c r="C12" s="24" t="s">
        <v>103</v>
      </c>
      <c r="D12" s="24"/>
      <c r="E12" s="25">
        <v>0</v>
      </c>
      <c r="F12" s="6" t="str">
        <f t="shared" si="0"/>
        <v>Pendiente</v>
      </c>
    </row>
    <row r="13" spans="1:6" ht="34.200000000000003" customHeight="1" x14ac:dyDescent="0.3">
      <c r="A13" s="20">
        <v>7</v>
      </c>
      <c r="B13" s="3" t="s">
        <v>104</v>
      </c>
      <c r="C13" s="5" t="s">
        <v>105</v>
      </c>
      <c r="D13" s="5"/>
      <c r="E13" s="21">
        <v>0</v>
      </c>
      <c r="F13" s="6" t="str">
        <f t="shared" si="0"/>
        <v>Pendiente</v>
      </c>
    </row>
    <row r="14" spans="1:6" ht="24" customHeight="1" x14ac:dyDescent="0.3">
      <c r="A14" s="65" t="s">
        <v>56</v>
      </c>
      <c r="B14" s="65"/>
      <c r="C14" s="65"/>
      <c r="D14" s="65"/>
      <c r="E14" s="7">
        <f>AVERAGE(E7:E13)</f>
        <v>0.5</v>
      </c>
      <c r="F14" s="32" t="str">
        <f>IF(E14=0,"Pendiente",IF(E14&lt;0.5,"En Progreso",IF(E14&lt;1,"Avanzado","Completado")))</f>
        <v>Avanzado</v>
      </c>
    </row>
    <row r="15" spans="1:6" ht="4.95" customHeight="1" x14ac:dyDescent="0.3"/>
    <row r="16" spans="1:6" ht="14.4" customHeight="1" x14ac:dyDescent="0.3">
      <c r="A16" s="69" t="s">
        <v>57</v>
      </c>
      <c r="B16" s="70"/>
      <c r="C16" s="70"/>
      <c r="D16" s="70"/>
      <c r="E16" s="70"/>
      <c r="F16" s="70"/>
    </row>
    <row r="17" spans="1:6" x14ac:dyDescent="0.3">
      <c r="A17" s="1" t="s">
        <v>59</v>
      </c>
      <c r="B17" s="64"/>
      <c r="C17" s="64"/>
      <c r="D17" s="64"/>
      <c r="E17" s="64"/>
      <c r="F17" s="64"/>
    </row>
    <row r="18" spans="1:6" x14ac:dyDescent="0.3">
      <c r="B18" s="27"/>
      <c r="C18" s="27"/>
      <c r="D18" s="27"/>
      <c r="E18" s="27"/>
      <c r="F18" s="27"/>
    </row>
    <row r="19" spans="1:6" x14ac:dyDescent="0.3">
      <c r="A19" s="27"/>
      <c r="B19" s="27"/>
      <c r="C19" s="27"/>
      <c r="D19" s="27"/>
      <c r="E19" s="27"/>
      <c r="F19" s="27"/>
    </row>
    <row r="20" spans="1:6" x14ac:dyDescent="0.3">
      <c r="A20" s="26"/>
      <c r="B20" s="28"/>
      <c r="C20" s="28"/>
      <c r="D20" s="28"/>
      <c r="E20" s="28"/>
      <c r="F20" s="28"/>
    </row>
  </sheetData>
  <mergeCells count="6">
    <mergeCell ref="B17:F17"/>
    <mergeCell ref="A1:F1"/>
    <mergeCell ref="A3:F3"/>
    <mergeCell ref="A4:F4"/>
    <mergeCell ref="A14:D14"/>
    <mergeCell ref="A16:F16"/>
  </mergeCells>
  <conditionalFormatting sqref="A1">
    <cfRule type="expression" dxfId="39" priority="9">
      <formula>$B$2= "Nuestra Gente"</formula>
    </cfRule>
    <cfRule type="expression" dxfId="38" priority="10">
      <formula>$B$2= "Nuestro Desempeño"</formula>
    </cfRule>
    <cfRule type="expression" dxfId="37" priority="14">
      <formula>$B$2= "Nuestra Dotación"</formula>
    </cfRule>
  </conditionalFormatting>
  <conditionalFormatting sqref="B2">
    <cfRule type="cellIs" dxfId="36" priority="11" operator="equal">
      <formula>"Nuestro Desempeño"</formula>
    </cfRule>
    <cfRule type="cellIs" dxfId="35" priority="12" operator="equal">
      <formula>"Nuestra Gente"</formula>
    </cfRule>
    <cfRule type="cellIs" dxfId="34" priority="13" operator="equal">
      <formula>"Nuestra Dotación"</formula>
    </cfRule>
  </conditionalFormatting>
  <conditionalFormatting sqref="E7:E13">
    <cfRule type="colorScale" priority="15">
      <colorScale>
        <cfvo type="num" val="0"/>
        <cfvo type="num" val="0.5"/>
        <cfvo type="num" val="1"/>
        <color rgb="FFFF0000"/>
        <color rgb="FFFFFF00"/>
        <color rgb="FF70AD47"/>
      </colorScale>
    </cfRule>
  </conditionalFormatting>
  <conditionalFormatting sqref="F7:F13">
    <cfRule type="cellIs" dxfId="33" priority="7" operator="equal">
      <formula>"Pendiente"</formula>
    </cfRule>
  </conditionalFormatting>
  <conditionalFormatting sqref="F7:F14">
    <cfRule type="cellIs" dxfId="32" priority="1" operator="equal">
      <formula>"En Progreso"</formula>
    </cfRule>
    <cfRule type="cellIs" dxfId="31" priority="2" operator="equal">
      <formula>"Completado"</formula>
    </cfRule>
    <cfRule type="cellIs" dxfId="30" priority="3" operator="equal">
      <formula>"Avanzado"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C54C6-D3DA-4D07-9B20-8D6512F30DA5}">
  <dimension ref="A1:F20"/>
  <sheetViews>
    <sheetView zoomScale="70" zoomScaleNormal="70" workbookViewId="0">
      <selection activeCell="A17" sqref="A17:F20"/>
    </sheetView>
  </sheetViews>
  <sheetFormatPr baseColWidth="10" defaultRowHeight="14.4" x14ac:dyDescent="0.3"/>
  <cols>
    <col min="1" max="1" width="15.33203125" style="1" customWidth="1"/>
    <col min="2" max="2" width="50.77734375" style="1" customWidth="1"/>
    <col min="3" max="3" width="23.21875" style="1" customWidth="1"/>
    <col min="4" max="4" width="17.77734375" style="1" customWidth="1"/>
    <col min="5" max="5" width="23.21875" style="1" customWidth="1"/>
    <col min="6" max="6" width="19.77734375" style="1" customWidth="1"/>
    <col min="7" max="16384" width="11.5546875" style="1"/>
  </cols>
  <sheetData>
    <row r="1" spans="1:6" ht="48" customHeight="1" x14ac:dyDescent="0.3">
      <c r="A1" s="71" t="s">
        <v>107</v>
      </c>
      <c r="B1" s="71"/>
      <c r="C1" s="71"/>
      <c r="D1" s="71"/>
      <c r="E1" s="71"/>
      <c r="F1" s="71"/>
    </row>
    <row r="2" spans="1:6" ht="19.2" customHeight="1" x14ac:dyDescent="0.3">
      <c r="A2" s="14" t="s">
        <v>34</v>
      </c>
      <c r="B2" s="33" t="str">
        <f>'📊 DASHBOARD'!C10</f>
        <v>Nuestro Desempeño</v>
      </c>
      <c r="C2" s="16" t="s">
        <v>69</v>
      </c>
      <c r="D2" s="17">
        <v>46102</v>
      </c>
      <c r="E2" s="2" t="s">
        <v>70</v>
      </c>
      <c r="F2" s="18" t="s">
        <v>13</v>
      </c>
    </row>
    <row r="3" spans="1:6" ht="22.05" customHeight="1" x14ac:dyDescent="0.3">
      <c r="A3" s="67" t="s">
        <v>58</v>
      </c>
      <c r="B3" s="67"/>
      <c r="C3" s="67"/>
      <c r="D3" s="67"/>
      <c r="E3" s="67"/>
      <c r="F3" s="67"/>
    </row>
    <row r="4" spans="1:6" ht="18.600000000000001" customHeight="1" x14ac:dyDescent="0.3">
      <c r="A4" s="68" t="s">
        <v>108</v>
      </c>
      <c r="B4" s="68"/>
      <c r="C4" s="68"/>
      <c r="D4" s="68"/>
      <c r="E4" s="68"/>
      <c r="F4" s="68"/>
    </row>
    <row r="5" spans="1:6" ht="4.95" customHeight="1" x14ac:dyDescent="0.3"/>
    <row r="6" spans="1:6" ht="30" customHeight="1" x14ac:dyDescent="0.3">
      <c r="A6" s="19" t="s">
        <v>3</v>
      </c>
      <c r="B6" s="19" t="s">
        <v>37</v>
      </c>
      <c r="C6" s="19" t="s">
        <v>38</v>
      </c>
      <c r="D6" s="19" t="s">
        <v>39</v>
      </c>
      <c r="E6" s="19" t="s">
        <v>40</v>
      </c>
      <c r="F6" s="19" t="s">
        <v>41</v>
      </c>
    </row>
    <row r="7" spans="1:6" ht="34.200000000000003" customHeight="1" x14ac:dyDescent="0.3">
      <c r="A7" s="20">
        <v>1</v>
      </c>
      <c r="B7" s="3" t="s">
        <v>109</v>
      </c>
      <c r="C7" s="5" t="s">
        <v>110</v>
      </c>
      <c r="D7" s="5">
        <v>46114</v>
      </c>
      <c r="E7" s="21">
        <v>1</v>
      </c>
      <c r="F7" s="6" t="str">
        <f>IF(E7=0,"Pendiente",IF(E7&lt;0.5,"En Progreso",IF(E7&lt;1,"Avanzado","Completado")))</f>
        <v>Completado</v>
      </c>
    </row>
    <row r="8" spans="1:6" ht="34.200000000000003" customHeight="1" x14ac:dyDescent="0.3">
      <c r="A8" s="22">
        <v>2</v>
      </c>
      <c r="B8" s="23" t="s">
        <v>111</v>
      </c>
      <c r="C8" s="24" t="s">
        <v>112</v>
      </c>
      <c r="D8" s="24">
        <v>46114</v>
      </c>
      <c r="E8" s="25">
        <v>1</v>
      </c>
      <c r="F8" s="6" t="str">
        <f t="shared" ref="F8:F12" si="0">IF(E8=0,"Pendiente",IF(E8&lt;0.5,"En Progreso",IF(E8&lt;1,"Avanzado","Completado")))</f>
        <v>Completado</v>
      </c>
    </row>
    <row r="9" spans="1:6" ht="34.200000000000003" customHeight="1" x14ac:dyDescent="0.3">
      <c r="A9" s="20">
        <v>3</v>
      </c>
      <c r="B9" s="3" t="s">
        <v>113</v>
      </c>
      <c r="C9" s="5" t="s">
        <v>114</v>
      </c>
      <c r="D9" s="5">
        <v>46114</v>
      </c>
      <c r="E9" s="21">
        <v>1</v>
      </c>
      <c r="F9" s="6" t="str">
        <f t="shared" si="0"/>
        <v>Completado</v>
      </c>
    </row>
    <row r="10" spans="1:6" ht="34.200000000000003" customHeight="1" x14ac:dyDescent="0.3">
      <c r="A10" s="22">
        <v>4</v>
      </c>
      <c r="B10" s="23" t="s">
        <v>115</v>
      </c>
      <c r="C10" s="24" t="s">
        <v>116</v>
      </c>
      <c r="D10" s="24">
        <v>46157</v>
      </c>
      <c r="E10" s="25">
        <v>1</v>
      </c>
      <c r="F10" s="6" t="str">
        <f t="shared" si="0"/>
        <v>Completado</v>
      </c>
    </row>
    <row r="11" spans="1:6" ht="34.200000000000003" customHeight="1" x14ac:dyDescent="0.3">
      <c r="A11" s="20">
        <v>5</v>
      </c>
      <c r="B11" s="3" t="s">
        <v>117</v>
      </c>
      <c r="C11" s="5" t="s">
        <v>118</v>
      </c>
      <c r="D11" s="5">
        <v>46114</v>
      </c>
      <c r="E11" s="21">
        <v>0.25</v>
      </c>
      <c r="F11" s="6" t="str">
        <f t="shared" si="0"/>
        <v>En Progreso</v>
      </c>
    </row>
    <row r="12" spans="1:6" ht="34.200000000000003" customHeight="1" x14ac:dyDescent="0.3">
      <c r="A12" s="22">
        <v>6</v>
      </c>
      <c r="B12" s="23" t="s">
        <v>119</v>
      </c>
      <c r="C12" s="24" t="s">
        <v>120</v>
      </c>
      <c r="D12" s="24"/>
      <c r="E12" s="25">
        <v>0</v>
      </c>
      <c r="F12" s="6" t="str">
        <f t="shared" si="0"/>
        <v>Pendiente</v>
      </c>
    </row>
    <row r="13" spans="1:6" ht="34.200000000000003" customHeight="1" x14ac:dyDescent="0.3">
      <c r="A13" s="20">
        <v>7</v>
      </c>
      <c r="B13" s="3" t="s">
        <v>121</v>
      </c>
      <c r="C13" s="5" t="s">
        <v>122</v>
      </c>
      <c r="D13" s="5"/>
      <c r="E13" s="21">
        <v>0</v>
      </c>
      <c r="F13" s="6" t="str">
        <f>IF(E13=0,"Pendiente",IF(E13&lt;0.5,"En Progreso",IF(E13&lt;1,"Avanzado","Completado")))</f>
        <v>Pendiente</v>
      </c>
    </row>
    <row r="14" spans="1:6" ht="24" customHeight="1" x14ac:dyDescent="0.3">
      <c r="A14" s="65" t="s">
        <v>56</v>
      </c>
      <c r="B14" s="65"/>
      <c r="C14" s="65"/>
      <c r="D14" s="65"/>
      <c r="E14" s="7">
        <f>AVERAGE(E7:E13)</f>
        <v>0.6071428571428571</v>
      </c>
      <c r="F14" s="32" t="str">
        <f>IF(E14=0,"Pendiente",IF(E14&lt;0.5,"En Progreso",IF(E14&lt;1,"Avanzado","Completado")))</f>
        <v>Avanzado</v>
      </c>
    </row>
    <row r="15" spans="1:6" ht="4.95" customHeight="1" x14ac:dyDescent="0.3"/>
    <row r="16" spans="1:6" ht="16.05" customHeight="1" x14ac:dyDescent="0.3">
      <c r="A16" s="72" t="s">
        <v>57</v>
      </c>
      <c r="B16" s="73"/>
      <c r="C16" s="73"/>
      <c r="D16" s="73"/>
      <c r="E16" s="73"/>
      <c r="F16" s="73"/>
    </row>
    <row r="17" spans="1:6" x14ac:dyDescent="0.3">
      <c r="A17" s="1" t="s">
        <v>59</v>
      </c>
      <c r="B17" s="64"/>
      <c r="C17" s="64"/>
      <c r="D17" s="64"/>
      <c r="E17" s="64"/>
      <c r="F17" s="64"/>
    </row>
    <row r="18" spans="1:6" x14ac:dyDescent="0.3">
      <c r="B18" s="27"/>
      <c r="C18" s="27"/>
      <c r="D18" s="27"/>
      <c r="E18" s="27"/>
      <c r="F18" s="27"/>
    </row>
    <row r="19" spans="1:6" x14ac:dyDescent="0.3">
      <c r="A19" s="27"/>
      <c r="B19" s="27"/>
      <c r="C19" s="27"/>
      <c r="D19" s="27"/>
      <c r="E19" s="27"/>
      <c r="F19" s="27"/>
    </row>
    <row r="20" spans="1:6" x14ac:dyDescent="0.3">
      <c r="A20" s="26"/>
      <c r="B20" s="28"/>
      <c r="C20" s="28"/>
      <c r="D20" s="28"/>
      <c r="E20" s="28"/>
      <c r="F20" s="28"/>
    </row>
  </sheetData>
  <mergeCells count="6">
    <mergeCell ref="B17:F17"/>
    <mergeCell ref="A1:F1"/>
    <mergeCell ref="A3:F3"/>
    <mergeCell ref="A4:F4"/>
    <mergeCell ref="A14:D14"/>
    <mergeCell ref="A16:F16"/>
  </mergeCells>
  <conditionalFormatting sqref="A1">
    <cfRule type="expression" dxfId="29" priority="8">
      <formula>$B$2= "Nuestra Gente"</formula>
    </cfRule>
    <cfRule type="expression" dxfId="28" priority="9">
      <formula>$B$2= "Nuestro Desempeño"</formula>
    </cfRule>
    <cfRule type="expression" dxfId="27" priority="13">
      <formula>$B$2= "Nuestra Dotación"</formula>
    </cfRule>
  </conditionalFormatting>
  <conditionalFormatting sqref="B2">
    <cfRule type="cellIs" dxfId="26" priority="10" operator="equal">
      <formula>"Nuestro Desempeño"</formula>
    </cfRule>
    <cfRule type="cellIs" dxfId="25" priority="11" operator="equal">
      <formula>"Nuestra Gente"</formula>
    </cfRule>
    <cfRule type="cellIs" dxfId="24" priority="12" operator="equal">
      <formula>"Nuestra Dotación"</formula>
    </cfRule>
  </conditionalFormatting>
  <conditionalFormatting sqref="E7:E13">
    <cfRule type="colorScale" priority="14">
      <colorScale>
        <cfvo type="num" val="0"/>
        <cfvo type="num" val="0.5"/>
        <cfvo type="num" val="1"/>
        <color rgb="FFFF0000"/>
        <color rgb="FFFFFF00"/>
        <color rgb="FF70AD47"/>
      </colorScale>
    </cfRule>
  </conditionalFormatting>
  <conditionalFormatting sqref="F7:F13">
    <cfRule type="cellIs" dxfId="23" priority="7" operator="equal">
      <formula>"Pendiente"</formula>
    </cfRule>
  </conditionalFormatting>
  <conditionalFormatting sqref="F7:F14">
    <cfRule type="cellIs" dxfId="22" priority="1" operator="equal">
      <formula>"En Progreso"</formula>
    </cfRule>
    <cfRule type="cellIs" dxfId="21" priority="2" operator="equal">
      <formula>"Completado"</formula>
    </cfRule>
    <cfRule type="cellIs" dxfId="20" priority="3" operator="equal">
      <formula>"Avanzado"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2870C-025D-46C2-A722-30728D738FA4}">
  <dimension ref="A1:F20"/>
  <sheetViews>
    <sheetView zoomScale="70" zoomScaleNormal="70" workbookViewId="0">
      <selection activeCell="B17" sqref="B17:F17"/>
    </sheetView>
  </sheetViews>
  <sheetFormatPr baseColWidth="10" defaultRowHeight="14.4" x14ac:dyDescent="0.3"/>
  <cols>
    <col min="1" max="1" width="15.33203125" style="1" customWidth="1"/>
    <col min="2" max="2" width="50.77734375" style="1" customWidth="1"/>
    <col min="3" max="3" width="23.21875" style="1" customWidth="1"/>
    <col min="4" max="4" width="17.77734375" style="1" customWidth="1"/>
    <col min="5" max="5" width="23.21875" style="1" customWidth="1"/>
    <col min="6" max="6" width="19.77734375" style="1" customWidth="1"/>
    <col min="7" max="16384" width="11.5546875" style="1"/>
  </cols>
  <sheetData>
    <row r="1" spans="1:6" ht="48" customHeight="1" x14ac:dyDescent="0.3">
      <c r="A1" s="71" t="s">
        <v>123</v>
      </c>
      <c r="B1" s="71"/>
      <c r="C1" s="71"/>
      <c r="D1" s="71"/>
      <c r="E1" s="71"/>
      <c r="F1" s="71"/>
    </row>
    <row r="2" spans="1:6" ht="19.8" customHeight="1" x14ac:dyDescent="0.3">
      <c r="A2" s="14" t="s">
        <v>34</v>
      </c>
      <c r="B2" s="33" t="str">
        <f>'📊 DASHBOARD'!C12</f>
        <v>Nuestra Gente</v>
      </c>
      <c r="C2" s="16" t="s">
        <v>69</v>
      </c>
      <c r="D2" s="17">
        <v>46102</v>
      </c>
      <c r="E2" s="2" t="s">
        <v>71</v>
      </c>
      <c r="F2" s="18" t="s">
        <v>13</v>
      </c>
    </row>
    <row r="3" spans="1:6" ht="22.05" customHeight="1" x14ac:dyDescent="0.3">
      <c r="A3" s="67" t="s">
        <v>139</v>
      </c>
      <c r="B3" s="67"/>
      <c r="C3" s="67"/>
      <c r="D3" s="67"/>
      <c r="E3" s="67"/>
      <c r="F3" s="67"/>
    </row>
    <row r="4" spans="1:6" ht="22.95" customHeight="1" x14ac:dyDescent="0.3">
      <c r="A4" s="68" t="s">
        <v>124</v>
      </c>
      <c r="B4" s="68"/>
      <c r="C4" s="68"/>
      <c r="D4" s="68"/>
      <c r="E4" s="68"/>
      <c r="F4" s="68"/>
    </row>
    <row r="5" spans="1:6" ht="4.95" customHeight="1" x14ac:dyDescent="0.3"/>
    <row r="6" spans="1:6" ht="30" customHeight="1" x14ac:dyDescent="0.3">
      <c r="A6" s="19" t="s">
        <v>3</v>
      </c>
      <c r="B6" s="19" t="s">
        <v>37</v>
      </c>
      <c r="C6" s="19" t="s">
        <v>38</v>
      </c>
      <c r="D6" s="19" t="s">
        <v>39</v>
      </c>
      <c r="E6" s="19" t="s">
        <v>40</v>
      </c>
      <c r="F6" s="19" t="s">
        <v>41</v>
      </c>
    </row>
    <row r="7" spans="1:6" ht="34.799999999999997" customHeight="1" x14ac:dyDescent="0.3">
      <c r="A7" s="20">
        <v>1</v>
      </c>
      <c r="B7" s="3" t="s">
        <v>132</v>
      </c>
      <c r="C7" s="5" t="s">
        <v>130</v>
      </c>
      <c r="D7" s="5">
        <v>46102</v>
      </c>
      <c r="E7" s="21">
        <v>1</v>
      </c>
      <c r="F7" s="6" t="str">
        <f>IF(E7=0,"Pendiente",IF(E7&lt;0.5,"En Progreso",IF(E7&lt;1,"Avanzado","Completado")))</f>
        <v>Completado</v>
      </c>
    </row>
    <row r="8" spans="1:6" ht="34.799999999999997" customHeight="1" x14ac:dyDescent="0.3">
      <c r="A8" s="22">
        <v>2</v>
      </c>
      <c r="B8" s="23" t="s">
        <v>133</v>
      </c>
      <c r="C8" s="24" t="s">
        <v>131</v>
      </c>
      <c r="D8" s="24">
        <v>46102</v>
      </c>
      <c r="E8" s="25">
        <v>1</v>
      </c>
      <c r="F8" s="6" t="str">
        <f t="shared" ref="F8:F13" si="0">IF(E8=0,"Pendiente",IF(E8&lt;0.5,"En Progreso",IF(E8&lt;1,"Avanzado","Completado")))</f>
        <v>Completado</v>
      </c>
    </row>
    <row r="9" spans="1:6" ht="34.799999999999997" customHeight="1" x14ac:dyDescent="0.3">
      <c r="A9" s="20">
        <v>3</v>
      </c>
      <c r="B9" s="3" t="s">
        <v>134</v>
      </c>
      <c r="C9" s="5" t="s">
        <v>125</v>
      </c>
      <c r="D9" s="5"/>
      <c r="E9" s="21">
        <v>0</v>
      </c>
      <c r="F9" s="6" t="str">
        <f t="shared" si="0"/>
        <v>Pendiente</v>
      </c>
    </row>
    <row r="10" spans="1:6" ht="34.799999999999997" customHeight="1" x14ac:dyDescent="0.3">
      <c r="A10" s="22">
        <v>4</v>
      </c>
      <c r="B10" s="23" t="s">
        <v>135</v>
      </c>
      <c r="C10" s="24" t="s">
        <v>128</v>
      </c>
      <c r="D10" s="24"/>
      <c r="E10" s="25">
        <v>0</v>
      </c>
      <c r="F10" s="6" t="str">
        <f t="shared" si="0"/>
        <v>Pendiente</v>
      </c>
    </row>
    <row r="11" spans="1:6" ht="34.799999999999997" customHeight="1" x14ac:dyDescent="0.3">
      <c r="A11" s="20">
        <v>5</v>
      </c>
      <c r="B11" s="3" t="s">
        <v>126</v>
      </c>
      <c r="C11" s="5" t="s">
        <v>127</v>
      </c>
      <c r="D11" s="5">
        <v>46102</v>
      </c>
      <c r="E11" s="21">
        <v>0.5</v>
      </c>
      <c r="F11" s="6" t="str">
        <f t="shared" si="0"/>
        <v>Avanzado</v>
      </c>
    </row>
    <row r="12" spans="1:6" ht="34.799999999999997" customHeight="1" x14ac:dyDescent="0.3">
      <c r="A12" s="22">
        <v>6</v>
      </c>
      <c r="B12" s="23" t="s">
        <v>137</v>
      </c>
      <c r="C12" s="24" t="s">
        <v>136</v>
      </c>
      <c r="D12" s="24"/>
      <c r="E12" s="25">
        <v>0</v>
      </c>
      <c r="F12" s="6" t="str">
        <f t="shared" si="0"/>
        <v>Pendiente</v>
      </c>
    </row>
    <row r="13" spans="1:6" ht="34.799999999999997" customHeight="1" x14ac:dyDescent="0.3">
      <c r="A13" s="20">
        <v>7</v>
      </c>
      <c r="B13" s="3" t="s">
        <v>138</v>
      </c>
      <c r="C13" s="5" t="s">
        <v>129</v>
      </c>
      <c r="D13" s="5"/>
      <c r="E13" s="21">
        <v>0</v>
      </c>
      <c r="F13" s="6" t="str">
        <f t="shared" si="0"/>
        <v>Pendiente</v>
      </c>
    </row>
    <row r="14" spans="1:6" ht="24" customHeight="1" x14ac:dyDescent="0.3">
      <c r="A14" s="65" t="s">
        <v>56</v>
      </c>
      <c r="B14" s="65"/>
      <c r="C14" s="65"/>
      <c r="D14" s="65"/>
      <c r="E14" s="7">
        <f>AVERAGE(E7:E13)</f>
        <v>0.35714285714285715</v>
      </c>
      <c r="F14" s="32" t="str">
        <f>IF(E14=0,"Pendiente",IF(E14&lt;0.5,"En Progreso",IF(E14&lt;1,"Avanzado","Completado")))</f>
        <v>En Progreso</v>
      </c>
    </row>
    <row r="15" spans="1:6" ht="4.95" customHeight="1" x14ac:dyDescent="0.3"/>
    <row r="16" spans="1:6" ht="16.05" customHeight="1" x14ac:dyDescent="0.3">
      <c r="A16" s="72" t="s">
        <v>57</v>
      </c>
      <c r="B16" s="73"/>
      <c r="C16" s="73"/>
      <c r="D16" s="73"/>
      <c r="E16" s="73"/>
      <c r="F16" s="73"/>
    </row>
    <row r="17" spans="1:6" x14ac:dyDescent="0.3">
      <c r="A17" s="1" t="s">
        <v>59</v>
      </c>
      <c r="B17" s="64" t="s">
        <v>156</v>
      </c>
      <c r="C17" s="64"/>
      <c r="D17" s="64"/>
      <c r="E17" s="64"/>
      <c r="F17" s="64"/>
    </row>
    <row r="18" spans="1:6" x14ac:dyDescent="0.3">
      <c r="B18" s="27"/>
      <c r="C18" s="27"/>
      <c r="D18" s="27"/>
      <c r="E18" s="27"/>
      <c r="F18" s="27"/>
    </row>
    <row r="19" spans="1:6" x14ac:dyDescent="0.3">
      <c r="A19" s="27"/>
      <c r="B19" s="27"/>
      <c r="C19" s="27"/>
      <c r="D19" s="27"/>
      <c r="E19" s="27"/>
      <c r="F19" s="27"/>
    </row>
    <row r="20" spans="1:6" x14ac:dyDescent="0.3">
      <c r="A20" s="26"/>
      <c r="B20" s="28"/>
      <c r="C20" s="28"/>
      <c r="D20" s="28"/>
      <c r="E20" s="28"/>
      <c r="F20" s="28"/>
    </row>
  </sheetData>
  <mergeCells count="6">
    <mergeCell ref="B17:F17"/>
    <mergeCell ref="A1:F1"/>
    <mergeCell ref="A3:F3"/>
    <mergeCell ref="A4:F4"/>
    <mergeCell ref="A14:D14"/>
    <mergeCell ref="A16:F16"/>
  </mergeCells>
  <conditionalFormatting sqref="A1">
    <cfRule type="expression" dxfId="19" priority="8">
      <formula>$B$2= "Nuestra Gente"</formula>
    </cfRule>
    <cfRule type="expression" dxfId="18" priority="9">
      <formula>$B$2= "Nuestro Desempeño"</formula>
    </cfRule>
    <cfRule type="expression" dxfId="17" priority="13">
      <formula>$B$2= "Nuestra Dotación"</formula>
    </cfRule>
  </conditionalFormatting>
  <conditionalFormatting sqref="B2">
    <cfRule type="cellIs" dxfId="16" priority="10" operator="equal">
      <formula>"Nuestro Desempeño"</formula>
    </cfRule>
    <cfRule type="cellIs" dxfId="15" priority="11" operator="equal">
      <formula>"Nuestra Gente"</formula>
    </cfRule>
    <cfRule type="cellIs" dxfId="14" priority="12" operator="equal">
      <formula>"Nuestra Dotación"</formula>
    </cfRule>
  </conditionalFormatting>
  <conditionalFormatting sqref="E7:E13">
    <cfRule type="colorScale" priority="14">
      <colorScale>
        <cfvo type="num" val="0"/>
        <cfvo type="num" val="0.5"/>
        <cfvo type="num" val="1"/>
        <color rgb="FFFF0000"/>
        <color rgb="FFFFFF00"/>
        <color rgb="FF70AD47"/>
      </colorScale>
    </cfRule>
  </conditionalFormatting>
  <conditionalFormatting sqref="F7:F13">
    <cfRule type="cellIs" dxfId="13" priority="7" operator="equal">
      <formula>"Pendiente"</formula>
    </cfRule>
  </conditionalFormatting>
  <conditionalFormatting sqref="F7:F14">
    <cfRule type="cellIs" dxfId="12" priority="1" operator="equal">
      <formula>"En Progreso"</formula>
    </cfRule>
    <cfRule type="cellIs" dxfId="11" priority="2" operator="equal">
      <formula>"Completado"</formula>
    </cfRule>
    <cfRule type="cellIs" dxfId="10" priority="3" operator="equal">
      <formula>"Avanzado"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13924-018D-4EB0-AD93-8B95E9A85D1C}">
  <dimension ref="A1:F20"/>
  <sheetViews>
    <sheetView zoomScale="70" zoomScaleNormal="70" workbookViewId="0">
      <selection activeCell="E14" sqref="E14"/>
    </sheetView>
  </sheetViews>
  <sheetFormatPr baseColWidth="10" defaultRowHeight="14.4" x14ac:dyDescent="0.3"/>
  <cols>
    <col min="1" max="1" width="15.33203125" style="1" customWidth="1"/>
    <col min="2" max="2" width="50.77734375" style="1" customWidth="1"/>
    <col min="3" max="3" width="23.21875" style="1" customWidth="1"/>
    <col min="4" max="4" width="17.77734375" style="1" customWidth="1"/>
    <col min="5" max="5" width="23.21875" style="1" customWidth="1"/>
    <col min="6" max="6" width="19.77734375" style="1" customWidth="1"/>
    <col min="7" max="16384" width="11.5546875" style="1"/>
  </cols>
  <sheetData>
    <row r="1" spans="1:6" ht="48" customHeight="1" x14ac:dyDescent="0.3">
      <c r="A1" s="71" t="s">
        <v>141</v>
      </c>
      <c r="B1" s="71"/>
      <c r="C1" s="71"/>
      <c r="D1" s="71"/>
      <c r="E1" s="71"/>
      <c r="F1" s="71"/>
    </row>
    <row r="2" spans="1:6" ht="19.8" customHeight="1" x14ac:dyDescent="0.3">
      <c r="A2" s="14" t="s">
        <v>34</v>
      </c>
      <c r="B2" s="33" t="str">
        <f>'📊 DASHBOARD'!C13</f>
        <v>Nuestra Dotación</v>
      </c>
      <c r="C2" s="16" t="s">
        <v>69</v>
      </c>
      <c r="D2" s="17">
        <v>46102</v>
      </c>
      <c r="E2" s="2" t="s">
        <v>70</v>
      </c>
      <c r="F2" s="17">
        <v>46476</v>
      </c>
    </row>
    <row r="3" spans="1:6" ht="21.6" customHeight="1" x14ac:dyDescent="0.3">
      <c r="A3" s="67" t="s">
        <v>58</v>
      </c>
      <c r="B3" s="67"/>
      <c r="C3" s="67"/>
      <c r="D3" s="67"/>
      <c r="E3" s="67"/>
      <c r="F3" s="67"/>
    </row>
    <row r="4" spans="1:6" ht="22.8" customHeight="1" x14ac:dyDescent="0.3">
      <c r="A4" s="68" t="s">
        <v>142</v>
      </c>
      <c r="B4" s="68"/>
      <c r="C4" s="68"/>
      <c r="D4" s="68"/>
      <c r="E4" s="68"/>
      <c r="F4" s="68"/>
    </row>
    <row r="5" spans="1:6" ht="4.95" customHeight="1" x14ac:dyDescent="0.3"/>
    <row r="6" spans="1:6" ht="30" customHeight="1" x14ac:dyDescent="0.3">
      <c r="A6" s="19" t="s">
        <v>3</v>
      </c>
      <c r="B6" s="19" t="s">
        <v>37</v>
      </c>
      <c r="C6" s="19" t="s">
        <v>38</v>
      </c>
      <c r="D6" s="19" t="s">
        <v>39</v>
      </c>
      <c r="E6" s="19" t="s">
        <v>40</v>
      </c>
      <c r="F6" s="19" t="s">
        <v>41</v>
      </c>
    </row>
    <row r="7" spans="1:6" ht="34.799999999999997" customHeight="1" x14ac:dyDescent="0.3">
      <c r="A7" s="20">
        <v>1</v>
      </c>
      <c r="B7" s="3" t="s">
        <v>146</v>
      </c>
      <c r="C7" s="5" t="s">
        <v>143</v>
      </c>
      <c r="D7" s="5">
        <v>46114</v>
      </c>
      <c r="E7" s="21">
        <v>0.3</v>
      </c>
      <c r="F7" s="6" t="str">
        <f>IF(E7=0,"Pendiente",IF(E7&lt;0.5,"En Progreso",IF(E7&lt;1,"Avanzado","Completado")))</f>
        <v>En Progreso</v>
      </c>
    </row>
    <row r="8" spans="1:6" ht="34.799999999999997" customHeight="1" x14ac:dyDescent="0.3">
      <c r="A8" s="22">
        <v>2</v>
      </c>
      <c r="B8" s="23" t="s">
        <v>150</v>
      </c>
      <c r="C8" s="24" t="s">
        <v>151</v>
      </c>
      <c r="D8" s="24">
        <v>46114</v>
      </c>
      <c r="E8" s="25">
        <v>1</v>
      </c>
      <c r="F8" s="6" t="str">
        <f t="shared" ref="F8:F13" si="0">IF(E8=0,"Pendiente",IF(E8&lt;0.5,"En Progreso",IF(E8&lt;1,"Avanzado","Completado")))</f>
        <v>Completado</v>
      </c>
    </row>
    <row r="9" spans="1:6" ht="34.799999999999997" customHeight="1" x14ac:dyDescent="0.3">
      <c r="A9" s="20">
        <v>3</v>
      </c>
      <c r="B9" s="3" t="s">
        <v>145</v>
      </c>
      <c r="C9" s="5" t="s">
        <v>144</v>
      </c>
      <c r="D9" s="5"/>
      <c r="E9" s="21">
        <v>0</v>
      </c>
      <c r="F9" s="6" t="str">
        <f t="shared" si="0"/>
        <v>Pendiente</v>
      </c>
    </row>
    <row r="10" spans="1:6" ht="34.799999999999997" customHeight="1" x14ac:dyDescent="0.3">
      <c r="A10" s="22">
        <v>4</v>
      </c>
      <c r="B10" s="23" t="s">
        <v>152</v>
      </c>
      <c r="C10" s="24" t="s">
        <v>153</v>
      </c>
      <c r="D10" s="24"/>
      <c r="E10" s="25">
        <v>0</v>
      </c>
      <c r="F10" s="6" t="str">
        <f t="shared" si="0"/>
        <v>Pendiente</v>
      </c>
    </row>
    <row r="11" spans="1:6" ht="34.799999999999997" customHeight="1" x14ac:dyDescent="0.3">
      <c r="A11" s="20">
        <v>5</v>
      </c>
      <c r="B11" s="3" t="s">
        <v>147</v>
      </c>
      <c r="C11" s="5" t="s">
        <v>144</v>
      </c>
      <c r="D11" s="5"/>
      <c r="E11" s="21">
        <v>0</v>
      </c>
      <c r="F11" s="6" t="str">
        <f t="shared" si="0"/>
        <v>Pendiente</v>
      </c>
    </row>
    <row r="12" spans="1:6" ht="46.2" customHeight="1" x14ac:dyDescent="0.3">
      <c r="A12" s="22">
        <v>6</v>
      </c>
      <c r="B12" s="23" t="s">
        <v>154</v>
      </c>
      <c r="C12" s="34" t="s">
        <v>155</v>
      </c>
      <c r="D12" s="24"/>
      <c r="E12" s="25">
        <v>0</v>
      </c>
      <c r="F12" s="6" t="str">
        <f t="shared" si="0"/>
        <v>Pendiente</v>
      </c>
    </row>
    <row r="13" spans="1:6" ht="46.2" customHeight="1" x14ac:dyDescent="0.3">
      <c r="A13" s="20">
        <v>7</v>
      </c>
      <c r="B13" s="3" t="s">
        <v>148</v>
      </c>
      <c r="C13" s="35" t="s">
        <v>149</v>
      </c>
      <c r="D13" s="5"/>
      <c r="E13" s="21">
        <v>0</v>
      </c>
      <c r="F13" s="6" t="str">
        <f t="shared" si="0"/>
        <v>Pendiente</v>
      </c>
    </row>
    <row r="14" spans="1:6" ht="24" customHeight="1" x14ac:dyDescent="0.3">
      <c r="A14" s="65" t="s">
        <v>56</v>
      </c>
      <c r="B14" s="65"/>
      <c r="C14" s="65"/>
      <c r="D14" s="65"/>
      <c r="E14" s="7">
        <f>AVERAGE(E7:E13)</f>
        <v>0.18571428571428572</v>
      </c>
      <c r="F14" s="32" t="str">
        <f>IF(E14=0,"Pendiente",IF(E14&lt;0.5,"En Progreso",IF(E14&lt;1,"Avanzado","Completado")))</f>
        <v>En Progreso</v>
      </c>
    </row>
    <row r="15" spans="1:6" ht="4.95" customHeight="1" x14ac:dyDescent="0.3"/>
    <row r="16" spans="1:6" ht="16.05" customHeight="1" x14ac:dyDescent="0.3">
      <c r="A16" s="72" t="s">
        <v>57</v>
      </c>
      <c r="B16" s="73"/>
      <c r="C16" s="73"/>
      <c r="D16" s="73"/>
      <c r="E16" s="73"/>
      <c r="F16" s="73"/>
    </row>
    <row r="17" spans="1:6" x14ac:dyDescent="0.3">
      <c r="A17" s="1" t="s">
        <v>59</v>
      </c>
      <c r="B17" s="64" t="s">
        <v>156</v>
      </c>
      <c r="C17" s="64"/>
      <c r="D17" s="64"/>
      <c r="E17" s="64"/>
      <c r="F17" s="64"/>
    </row>
    <row r="18" spans="1:6" x14ac:dyDescent="0.3">
      <c r="B18" s="27"/>
      <c r="C18" s="27"/>
      <c r="D18" s="27"/>
      <c r="E18" s="27"/>
      <c r="F18" s="27"/>
    </row>
    <row r="19" spans="1:6" x14ac:dyDescent="0.3">
      <c r="A19" s="27"/>
      <c r="B19" s="27"/>
      <c r="C19" s="27"/>
      <c r="D19" s="27"/>
      <c r="E19" s="27"/>
      <c r="F19" s="27"/>
    </row>
    <row r="20" spans="1:6" x14ac:dyDescent="0.3">
      <c r="A20" s="26"/>
      <c r="B20" s="28"/>
      <c r="C20" s="28"/>
      <c r="D20" s="28"/>
      <c r="E20" s="28"/>
      <c r="F20" s="28"/>
    </row>
  </sheetData>
  <mergeCells count="6">
    <mergeCell ref="B17:F17"/>
    <mergeCell ref="A1:F1"/>
    <mergeCell ref="A3:F3"/>
    <mergeCell ref="A4:F4"/>
    <mergeCell ref="A14:D14"/>
    <mergeCell ref="A16:F16"/>
  </mergeCells>
  <conditionalFormatting sqref="A1">
    <cfRule type="expression" dxfId="9" priority="8">
      <formula>$B$2= "Nuestra Gente"</formula>
    </cfRule>
    <cfRule type="expression" dxfId="8" priority="9">
      <formula>$B$2= "Nuestro Desempeño"</formula>
    </cfRule>
    <cfRule type="expression" dxfId="7" priority="13">
      <formula>$B$2= "Nuestra Dotación"</formula>
    </cfRule>
  </conditionalFormatting>
  <conditionalFormatting sqref="B2">
    <cfRule type="cellIs" dxfId="6" priority="10" operator="equal">
      <formula>"Nuestro Desempeño"</formula>
    </cfRule>
    <cfRule type="cellIs" dxfId="5" priority="11" operator="equal">
      <formula>"Nuestra Gente"</formula>
    </cfRule>
    <cfRule type="cellIs" dxfId="4" priority="12" operator="equal">
      <formula>"Nuestra Dotación"</formula>
    </cfRule>
  </conditionalFormatting>
  <conditionalFormatting sqref="E7:E13">
    <cfRule type="colorScale" priority="14">
      <colorScale>
        <cfvo type="num" val="0"/>
        <cfvo type="num" val="0.5"/>
        <cfvo type="num" val="1"/>
        <color rgb="FFFF0000"/>
        <color rgb="FFFFFF00"/>
        <color rgb="FF70AD47"/>
      </colorScale>
    </cfRule>
  </conditionalFormatting>
  <conditionalFormatting sqref="F7:F13">
    <cfRule type="cellIs" dxfId="3" priority="7" operator="equal">
      <formula>"Pendiente"</formula>
    </cfRule>
  </conditionalFormatting>
  <conditionalFormatting sqref="F7:F14">
    <cfRule type="cellIs" dxfId="2" priority="1" operator="equal">
      <formula>"En Progreso"</formula>
    </cfRule>
    <cfRule type="cellIs" dxfId="1" priority="2" operator="equal">
      <formula>"Completado"</formula>
    </cfRule>
    <cfRule type="cellIs" dxfId="0" priority="3" operator="equal">
      <formula>"Avanzado"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📊 DASHBOARD</vt:lpstr>
      <vt:lpstr>OBJ1 - Capacitaciones MA</vt:lpstr>
      <vt:lpstr>OBJ2 - Cap. Lubricantes</vt:lpstr>
      <vt:lpstr>OBJ3 - Etiquetado Lubricantes</vt:lpstr>
      <vt:lpstr>OBJ4 - MTTR MTBF</vt:lpstr>
      <vt:lpstr>OBJ5 - Estrategia CBC</vt:lpstr>
      <vt:lpstr>OBJ6 - Cultura Seguridad</vt:lpstr>
      <vt:lpstr>OBJ7 - Cultura Ambiental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 Rodriguez</dc:creator>
  <cp:lastModifiedBy>Jesus Rodriguez</cp:lastModifiedBy>
  <dcterms:created xsi:type="dcterms:W3CDTF">2026-05-21T18:20:51Z</dcterms:created>
  <dcterms:modified xsi:type="dcterms:W3CDTF">2026-05-22T03:00:48Z</dcterms:modified>
</cp:coreProperties>
</file>